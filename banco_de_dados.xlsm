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ivotTables/pivotTable1.xml" ContentType="application/vnd.openxmlformats-officedocument.spreadsheetml.pivot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mc:AlternateContent xmlns:mc="http://schemas.openxmlformats.org/markup-compatibility/2006">
    <mc:Choice Requires="x15">
      <x15ac:absPath xmlns:x15ac="http://schemas.microsoft.com/office/spreadsheetml/2010/11/ac" url="C:\Users\joao.silva\Documents\GitHub\pptx-automatico\"/>
    </mc:Choice>
  </mc:AlternateContent>
  <xr:revisionPtr revIDLastSave="0" documentId="13_ncr:1_{0620C153-EBB8-42AB-BC50-3BDDEA83366B}" xr6:coauthVersionLast="47" xr6:coauthVersionMax="47" xr10:uidLastSave="{00000000-0000-0000-0000-000000000000}"/>
  <bookViews>
    <workbookView xWindow="-120" yWindow="-16320" windowWidth="29040" windowHeight="15720" xr2:uid="{00000000-000D-0000-FFFF-FFFF00000000}"/>
  </bookViews>
  <sheets>
    <sheet name="ncmr" sheetId="3" r:id="rId1"/>
    <sheet name="rc" sheetId="4" r:id="rId2"/>
    <sheet name="TabelaDinâmica" sheetId="7" r:id="rId3"/>
    <sheet name="tabelas" sheetId="6" r:id="rId4"/>
  </sheets>
  <functionGroups builtInGroupCount="19"/>
  <calcPr calcId="191028"/>
  <pivotCaches>
    <pivotCache cacheId="0"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tc={6834123A-A769-4D9D-829F-8FD97DD05635}</author>
    <author>tc={132AE1CD-4792-483C-A689-00F99E6FA661}</author>
    <author>tc={BD844094-9B7D-4D55-BA8E-3E5198EC4AF6}</author>
  </authors>
  <commentList>
    <comment ref="E1" authorId="0" shapeId="0" xr:uid="{6834123A-A769-4D9D-829F-8FD97DD05635}">
      <text>
        <t>[Threaded comment]
Your version of Excel allows you to read this threaded comment; however, any edits to it will get removed if the file is opened in a newer version of Excel. Learn more: https://go.microsoft.com/fwlink/?linkid=870924
Comment:
    O gerador de diagrama Four-Block está num script Python. O Excel acessa o script através de um Macro acessível através da aba Developer &gt; Visual Basic &gt; Modules &gt; Module1</t>
      </text>
    </comment>
    <comment ref="F7" authorId="1" shapeId="0" xr:uid="{132AE1CD-4792-483C-A689-00F99E6FA661}">
      <text>
        <t>[Threaded comment]
Your version of Excel allows you to read this threaded comment; however, any edits to it will get removed if the file is opened in a newer version of Excel. Learn more: https://go.microsoft.com/fwlink/?linkid=870924
Comment:
    As datas e horas estão em UTC. Isso é dificil de mudar, mas tambem não é útil de mudar. Desta forma a comunicação com outras aplicações fica facilitada.</t>
      </text>
    </comment>
    <comment ref="V7" authorId="2" shapeId="0" xr:uid="{BD844094-9B7D-4D55-BA8E-3E5198EC4AF6}">
      <text>
        <t xml:space="preserve">[Threaded comment]
Your version of Excel allows you to read this threaded comment; however, any edits to it will get removed if the file is opened in a newer version of Excel. Learn more: https://go.microsoft.com/fwlink/?linkid=870924
Comment:
    Este campo permite múltipla seleção. A múltipla seleção foi implementada em codigo VBA (aba Developer &gt; Visual Basic &gt; Sheet1(nmcr) &gt; View Code). O código foi copiado do link a seguir: How to create multi-select drop down list in Excel </t>
      </text>
    </comment>
  </commentList>
</comments>
</file>

<file path=xl/sharedStrings.xml><?xml version="1.0" encoding="utf-8"?>
<sst xmlns="http://schemas.openxmlformats.org/spreadsheetml/2006/main" count="161" uniqueCount="106">
  <si>
    <t>Selecione a célula com o PowerAppsId da NCMR que deseja gerar.</t>
  </si>
  <si>
    <t>PowerAppsId</t>
  </si>
  <si>
    <t>cod_reliance</t>
  </si>
  <si>
    <t>status</t>
  </si>
  <si>
    <t>email_responsavel</t>
  </si>
  <si>
    <t>local</t>
  </si>
  <si>
    <t>data_requisicao</t>
  </si>
  <si>
    <t>data_problema</t>
  </si>
  <si>
    <t>part_number</t>
  </si>
  <si>
    <t>serial_number</t>
  </si>
  <si>
    <t>descricao_part</t>
  </si>
  <si>
    <t>Informativa</t>
  </si>
  <si>
    <t>informativa_retrabalho</t>
  </si>
  <si>
    <t>errado</t>
  </si>
  <si>
    <t>correto</t>
  </si>
  <si>
    <t>qtd_itens</t>
  </si>
  <si>
    <t>qtd_erros</t>
  </si>
  <si>
    <t>prioridade</t>
  </si>
  <si>
    <t>modelo_locomotiva</t>
  </si>
  <si>
    <t>numero_locomotiva</t>
  </si>
  <si>
    <t>fornecedor</t>
  </si>
  <si>
    <t>fabricante</t>
  </si>
  <si>
    <t>aos_cuidados</t>
  </si>
  <si>
    <t>origem_do_item</t>
  </si>
  <si>
    <t>Tipo</t>
  </si>
  <si>
    <t>Emitido</t>
  </si>
  <si>
    <t>GA1</t>
  </si>
  <si>
    <t>Não</t>
  </si>
  <si>
    <t>DASH9</t>
  </si>
  <si>
    <t>NCMR-2025-ABCD1234</t>
  </si>
  <si>
    <t>Requisitado</t>
  </si>
  <si>
    <t>exemplo@gmail.com</t>
  </si>
  <si>
    <t>ABCD1234</t>
  </si>
  <si>
    <t>XYZ987</t>
  </si>
  <si>
    <t>Parafuso</t>
  </si>
  <si>
    <t>Parafusos entregues no tamanho errado (M6) e com as porcas faltando.</t>
  </si>
  <si>
    <t>O produto deveria conter parafusos M8, sextavados, com porcas correspondentes na mesma embalagem.</t>
  </si>
  <si>
    <t>5. Não urgente</t>
  </si>
  <si>
    <t>Empresa ABC</t>
  </si>
  <si>
    <t>Fábrica 123</t>
  </si>
  <si>
    <t>N/A</t>
  </si>
  <si>
    <t>GA2</t>
  </si>
  <si>
    <t>ES43BBi</t>
  </si>
  <si>
    <t>AC44i</t>
  </si>
  <si>
    <t>ES44ACi</t>
  </si>
  <si>
    <t>Sim</t>
  </si>
  <si>
    <t>luciano.pereira@wabtec.com</t>
  </si>
  <si>
    <t>flavio.soares@Wabtec.com</t>
  </si>
  <si>
    <t>Fornecedor</t>
  </si>
  <si>
    <t>gabriel.barbosa@wabtec.com</t>
  </si>
  <si>
    <t>sancho.oliveira@Wabtec.com</t>
  </si>
  <si>
    <t>messias.cota@wabtec.com</t>
  </si>
  <si>
    <t>miguel.ramos@wabtec.com</t>
  </si>
  <si>
    <t>john.silva@wabtec.com</t>
  </si>
  <si>
    <t>jorge.silva@wabtec.com</t>
  </si>
  <si>
    <t>vinicius.borgatti@wabtec.com</t>
  </si>
  <si>
    <t>josimar.miranda@wabtec.com</t>
  </si>
  <si>
    <t>gabriel.oliveira@wabtec.com</t>
  </si>
  <si>
    <t>data_instalacao</t>
  </si>
  <si>
    <t>data_remocao</t>
  </si>
  <si>
    <t>MWH</t>
  </si>
  <si>
    <t>avaria</t>
  </si>
  <si>
    <t>tipo_servico</t>
  </si>
  <si>
    <t>OVP</t>
  </si>
  <si>
    <t>RC_20250811_163956_5GE761ANS</t>
  </si>
  <si>
    <t>5GE761ANS</t>
  </si>
  <si>
    <t>EE11100503</t>
  </si>
  <si>
    <t>Motor de tração apresentou circuito de potência aterrado. Foi identificado arame do rebobinamento da armadura dentro do motor</t>
  </si>
  <si>
    <t>Unscheduled</t>
  </si>
  <si>
    <t>RC_20250814_174841_84C611954ADG2RBZ</t>
  </si>
  <si>
    <t>3X10261MALL</t>
  </si>
  <si>
    <t>As válvulas devem manter a estanqueidade para que o ar não retorne dos reservatórios de ar da locomotiva para atmosfera através das válvulas. Ao realizar os testes iniciais do compressor foi observado retorno de ar pelas válvulas do cabeçote de alta e dessa forma sendo necessário a substituição do cabeçote de alta do compressor.</t>
  </si>
  <si>
    <t>RC_20250815_084043_84C611954ADG2RBZ</t>
  </si>
  <si>
    <t>84C611954ADG2RBZ</t>
  </si>
  <si>
    <t>H4859980</t>
  </si>
  <si>
    <t xml:space="preserve">Eixo do tudo U original da locomotiva com sinal de arraste provavelmente ocorrido durante processo de prensagem da Roda
Foi examinado eixo e a Roda juntamento evidenciando desvio na usinagem da roda, causando o arraste de material do eixo. Suspeita que o processo tenha ocorrido durante o processo de prensagem .
Repair Comments: Foi realizado o pagamento de novo eixo e enviado eixo e roda para análise em Contagem 
Análise em Araraquara foi acompanhado por Flávio Soares 
</t>
  </si>
  <si>
    <t>RC_20250820_081405_17FH40X1</t>
  </si>
  <si>
    <t>jefferson.silva@Wabtec.com</t>
  </si>
  <si>
    <t>17FH40X1</t>
  </si>
  <si>
    <t>FH25030199L</t>
  </si>
  <si>
    <t>Loco perdendo comunicação com CCA vindo a ocasionar parametros em Astericos* nas telas dos SDIS</t>
  </si>
  <si>
    <t>RC_20251014_143404_41D728786AKG17RBZ</t>
  </si>
  <si>
    <t>thiago.oliveira@Wabtec.com</t>
  </si>
  <si>
    <t>41D728786AKG17RBZ</t>
  </si>
  <si>
    <t>Locomotiva realizou preventiva semestral, teve substituição da carga de óleo, sem intervenção na peneira.
Após liberada ao entrar em trem apresentou falha de compressor onde foi verificado cheiro de queimado e forte barulho no compressor, verificado nivel de óleo estava ok, retirado a peneira na oficina e não tinha obstrução, apenas materiais metálicos no cárter e forte aquecimento nos mancais e bielas. Locomotiva com 6 meses de operação, compressor original.</t>
  </si>
  <si>
    <t xml:space="preserve">   </t>
  </si>
  <si>
    <t>Data</t>
  </si>
  <si>
    <t>NCMRs</t>
  </si>
  <si>
    <t>jul</t>
  </si>
  <si>
    <t>ago</t>
  </si>
  <si>
    <t>set</t>
  </si>
  <si>
    <t>out</t>
  </si>
  <si>
    <t>Grand Total</t>
  </si>
  <si>
    <t>Email</t>
  </si>
  <si>
    <t>Origem</t>
  </si>
  <si>
    <t>Local</t>
  </si>
  <si>
    <t>Grupo email</t>
  </si>
  <si>
    <t>Fábrica</t>
  </si>
  <si>
    <t>ncmr-ga1-cc@wabtec.com</t>
  </si>
  <si>
    <t>lucas.figueiredo@Wabtec.com</t>
  </si>
  <si>
    <t>ncmr-ga2-cc@wabtec.com</t>
  </si>
  <si>
    <t>Leandro Santos</t>
  </si>
  <si>
    <t>douglas.reis@wabtec.com</t>
  </si>
  <si>
    <t>thiago.santos@wabtec.com</t>
  </si>
  <si>
    <t>"C:\Users\joao.silva\Documents\GitHub\pptx-automatico\.venv\Scripts\python.exe" "C:\Users\joao.silva\Documents\GitHub\pptx-automatico\pptx-automatico.py" $A$9</t>
  </si>
  <si>
    <t>"C:\Users\joao.silva\Documents\GitHub\pptx-automatico\pptx-automatico.exe" $A$9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</si>
</sst>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hh:mm:ss"/>
  </numFmts>
  <fonts count="5" x14ac:knownFonts="1">
    <font>
      <sz val="11"/>
      <color theme="1"/>
      <name val="Calibri"/>
      <family val="2"/>
      <scheme val="minor"/>
    </font>
    <font>
      <u/>
      <sz val="11"/>
      <color theme="10"/>
      <name val="Calibri"/>
      <family val="2"/>
      <scheme val="minor"/>
    </font>
    <font>
      <b/>
      <sz val="11"/>
      <color theme="0"/>
      <name val="Calibri"/>
      <family val="2"/>
      <scheme val="minor"/>
    </font>
    <font>
      <sz val="11"/>
      <name val="Calibri"/>
      <family val="2"/>
      <scheme val="minor"/>
    </font>
    <font>
      <sz val="11"/>
      <color rgb="FF000000"/>
      <name val="Calibri"/>
      <family val="2"/>
    </font>
  </fonts>
  <fills count="7">
    <fill>
      <patternFill patternType="none"/>
    </fill>
    <fill>
      <patternFill patternType="gray125"/>
    </fill>
    <fill>
      <patternFill patternType="solid">
        <fgColor theme="9" tint="-0.249977111117893"/>
        <bgColor indexed="64"/>
      </patternFill>
    </fill>
    <fill>
      <patternFill patternType="solid">
        <fgColor theme="0"/>
        <bgColor indexed="64"/>
      </patternFill>
    </fill>
    <fill>
      <patternFill patternType="solid">
        <fgColor rgb="FFFFFFFF"/>
        <bgColor rgb="FF000000"/>
      </patternFill>
    </fill>
    <fill>
      <patternFill patternType="solid">
        <fgColor theme="6"/>
        <bgColor theme="6"/>
      </patternFill>
    </fill>
    <fill>
      <patternFill patternType="solid">
        <fgColor theme="9" tint="0.39997558519241921"/>
        <bgColor indexed="64"/>
      </patternFill>
    </fill>
  </fills>
  <borders count="13">
    <border>
      <left/>
      <right/>
      <top/>
      <bottom/>
      <diagonal/>
    </border>
    <border>
      <left/>
      <right/>
      <top style="thin">
        <color theme="9"/>
      </top>
      <bottom/>
      <diagonal/>
    </border>
    <border>
      <left/>
      <right/>
      <top style="thin">
        <color theme="6"/>
      </top>
      <bottom/>
      <diagonal/>
    </border>
    <border>
      <left/>
      <right style="thin">
        <color theme="6"/>
      </right>
      <top style="thin">
        <color theme="6"/>
      </top>
      <bottom/>
      <diagonal/>
    </border>
    <border>
      <left/>
      <right style="thin">
        <color theme="6"/>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2" fillId="2" borderId="1" xfId="0" applyFont="1" applyFill="1" applyBorder="1"/>
    <xf numFmtId="14" fontId="0" fillId="3" borderId="0" xfId="0" applyNumberFormat="1" applyFill="1"/>
    <xf numFmtId="164" fontId="0" fillId="0" borderId="0" xfId="0" applyNumberFormat="1"/>
    <xf numFmtId="14" fontId="0" fillId="0" borderId="0" xfId="0" applyNumberFormat="1"/>
    <xf numFmtId="0" fontId="0" fillId="3" borderId="0" xfId="0" applyFill="1"/>
    <xf numFmtId="0" fontId="3" fillId="3" borderId="0" xfId="0" applyFont="1" applyFill="1"/>
    <xf numFmtId="14" fontId="3" fillId="3" borderId="0" xfId="0" applyNumberFormat="1" applyFont="1" applyFill="1"/>
    <xf numFmtId="0" fontId="1" fillId="0" borderId="0" xfId="1"/>
    <xf numFmtId="0" fontId="0" fillId="0" borderId="2" xfId="0" applyBorder="1"/>
    <xf numFmtId="0" fontId="2" fillId="5" borderId="0" xfId="0" applyFont="1" applyFill="1"/>
    <xf numFmtId="0" fontId="1" fillId="0" borderId="3" xfId="1" applyBorder="1"/>
    <xf numFmtId="0" fontId="2" fillId="5" borderId="4" xfId="0" applyFont="1" applyFill="1" applyBorder="1"/>
    <xf numFmtId="164" fontId="0" fillId="3" borderId="0" xfId="0" applyNumberFormat="1" applyFill="1"/>
    <xf numFmtId="0" fontId="0" fillId="0" borderId="0" xfId="0" applyAlignment="1">
      <alignment horizontal="fill"/>
    </xf>
    <xf numFmtId="0" fontId="0" fillId="3" borderId="0" xfId="0" applyFill="1" applyAlignment="1">
      <alignment horizontal="fill"/>
    </xf>
    <xf numFmtId="0" fontId="0" fillId="0" borderId="0" xfId="0" applyAlignment="1">
      <alignment vertical="center"/>
    </xf>
    <xf numFmtId="164" fontId="3" fillId="3" borderId="0" xfId="0" applyNumberFormat="1" applyFont="1" applyFill="1"/>
    <xf numFmtId="0" fontId="3" fillId="3" borderId="0" xfId="0" applyFont="1" applyFill="1" applyAlignment="1">
      <alignment wrapText="1"/>
    </xf>
    <xf numFmtId="0" fontId="0" fillId="0" borderId="0" xfId="0" applyAlignment="1">
      <alignment horizontal="fill" vertical="center"/>
    </xf>
    <xf numFmtId="0" fontId="0" fillId="2" borderId="0" xfId="0" applyFill="1" applyAlignment="1">
      <alignment horizontal="fill"/>
    </xf>
    <xf numFmtId="0" fontId="3" fillId="6" borderId="0" xfId="0" applyFont="1" applyFill="1"/>
    <xf numFmtId="0" fontId="0" fillId="2" borderId="0" xfId="0" applyFill="1"/>
    <xf numFmtId="14" fontId="0" fillId="2" borderId="0" xfId="0" applyNumberFormat="1" applyFill="1"/>
    <xf numFmtId="0" fontId="0" fillId="4" borderId="0" xfId="0" applyFill="1"/>
    <xf numFmtId="0" fontId="0" fillId="0" borderId="0" xfId="0" pivotButton="1"/>
    <xf numFmtId="0" fontId="0" fillId="0" borderId="0" xfId="0" applyAlignment="1">
      <alignment horizontal="left"/>
    </xf>
    <xf numFmtId="0" fontId="1" fillId="3" borderId="0" xfId="1" applyFill="1"/>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5" xfId="0" applyBorder="1" applyAlignment="1">
      <alignment horizontal="center"/>
    </xf>
    <xf numFmtId="0" fontId="0" fillId="0" borderId="11"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0" xfId="0"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2" xfId="0" applyBorder="1" applyAlignment="1">
      <alignment horizontal="center"/>
    </xf>
    <xf numFmtId="0" fontId="0" fillId="0" borderId="10" xfId="0" applyBorder="1" applyAlignment="1">
      <alignment horizontal="center"/>
    </xf>
  </cellXfs>
  <cellStyles count="2">
    <cellStyle name="Hyperlink" xfId="1" builtinId="8"/>
    <cellStyle name="Normal" xfId="0" builtinId="0"/>
  </cellStyles>
  <dxfs count="90">
    <dxf>
      <font>
        <b val="0"/>
        <i val="0"/>
        <strike val="0"/>
        <condense val="0"/>
        <extend val="0"/>
        <outline val="0"/>
        <shadow val="0"/>
        <u val="none"/>
        <vertAlign val="baseline"/>
        <sz val="11"/>
        <color theme="1"/>
        <name val="Calibri"/>
        <family val="2"/>
        <scheme val="minor"/>
      </font>
      <border diagonalUp="0" diagonalDown="0">
        <left/>
        <right/>
        <top style="thin">
          <color theme="6"/>
        </top>
        <bottom/>
        <vertical/>
        <horizontal/>
      </border>
    </dxf>
    <dxf>
      <font>
        <b val="0"/>
        <i val="0"/>
        <strike val="0"/>
        <condense val="0"/>
        <extend val="0"/>
        <outline val="0"/>
        <shadow val="0"/>
        <u/>
        <vertAlign val="baseline"/>
        <sz val="11"/>
        <color theme="10"/>
        <name val="Calibri"/>
        <family val="2"/>
        <scheme val="minor"/>
      </font>
      <border diagonalUp="0" diagonalDown="0">
        <left/>
        <right style="thin">
          <color theme="6"/>
        </right>
        <top style="thin">
          <color theme="6"/>
        </top>
        <bottom/>
        <vertical/>
        <horizontal/>
      </border>
    </dxf>
    <dxf>
      <border outline="0">
        <left style="thin">
          <color theme="6"/>
        </left>
        <right style="thin">
          <color theme="6"/>
        </right>
        <top style="thin">
          <color theme="6"/>
        </top>
        <bottom style="thin">
          <color theme="6"/>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border diagonalUp="0" diagonalDown="0" outline="0">
        <left style="thin">
          <color theme="6"/>
        </left>
        <right style="thin">
          <color theme="6"/>
        </right>
        <top/>
        <bottom/>
      </border>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alignment horizontal="general" vertical="bottom" textRotation="0" wrapText="0" indent="0" justifyLastLine="0" shrinkToFit="0" readingOrder="0"/>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5" formatCode="dd/mm/yyyy"/>
      <fill>
        <patternFill>
          <fgColor indexed="64"/>
          <bgColor theme="0"/>
        </patternFill>
      </fill>
    </dxf>
    <dxf>
      <font>
        <b val="0"/>
        <strike val="0"/>
        <outline val="0"/>
        <shadow val="0"/>
        <u val="none"/>
        <vertAlign val="baseline"/>
        <sz val="11"/>
        <color auto="1"/>
        <name val="Calibri"/>
        <family val="2"/>
        <scheme val="minor"/>
      </font>
      <numFmt numFmtId="164" formatCode="dd/mm/yyyy\ hh:mm:ss"/>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numFmt numFmtId="0" formatCode="General"/>
      <fill>
        <patternFill>
          <fgColor indexed="64"/>
          <bgColor theme="0"/>
        </patternFill>
      </fill>
    </dxf>
    <dxf>
      <font>
        <b val="0"/>
        <strike val="0"/>
        <outline val="0"/>
        <shadow val="0"/>
        <u val="none"/>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9" tint="-0.249977111117893"/>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solid">
          <fgColor rgb="FF000000"/>
          <bgColor rgb="FFFFFFFF"/>
        </patternFill>
      </fill>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0" formatCode="General"/>
      <fill>
        <patternFill>
          <fgColor indexed="64"/>
          <bgColor theme="0"/>
        </patternFill>
      </fill>
      <alignment horizontal="general" vertical="bottom" textRotation="0" wrapText="0" indent="0" justifyLastLine="0" shrinkToFit="0" readingOrder="0"/>
    </dxf>
    <dxf>
      <numFmt numFmtId="165" formatCode="dd/mm/yyyy"/>
      <fill>
        <patternFill patternType="solid">
          <fgColor indexed="64"/>
          <bgColor theme="0"/>
        </patternFill>
      </fill>
      <alignment horizontal="general" vertical="bottom" textRotation="0" wrapText="0" indent="0" justifyLastLine="0" shrinkToFit="0" readingOrder="0"/>
    </dxf>
    <dxf>
      <numFmt numFmtId="164" formatCode="dd/mm/yyyy\ hh:mm:ss"/>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numFmt numFmtId="0" formatCode="General"/>
      <fill>
        <patternFill patternType="solid">
          <fgColor indexed="64"/>
          <bgColor theme="0"/>
        </patternFill>
      </fill>
      <alignment horizontal="general" vertical="bottom" textRotation="0" wrapText="0" indent="0" justifyLastLine="0" shrinkToFit="0" readingOrder="0"/>
    </dxf>
    <dxf>
      <fill>
        <patternFill patternType="solid">
          <fgColor indexed="64"/>
          <bgColor theme="0"/>
        </patternFill>
      </fill>
      <alignment textRotation="0" wrapText="0" indent="0" justifyLastLine="0" shrinkToFit="0" readingOrder="0"/>
    </dxf>
    <dxf>
      <numFmt numFmtId="0" formatCode="General"/>
      <fill>
        <patternFill patternType="solid">
          <fgColor indexed="64"/>
          <bgColor theme="0"/>
        </patternFill>
      </fill>
      <alignment horizontal="fill" vertical="bottom" textRotation="0" wrapText="0" indent="0" justifyLastLine="0" shrinkToFit="0" readingOrder="0"/>
    </dxf>
    <dxf>
      <numFmt numFmtId="0" formatCode="General"/>
      <fill>
        <patternFill>
          <fgColor rgb="FF000000"/>
          <bgColor rgb="FFFFFFFF"/>
        </patternFill>
      </fill>
      <alignment horizontal="general" vertical="bottom" textRotation="0" wrapText="0" indent="0" justifyLastLine="0" shrinkToFit="0" readingOrder="0"/>
    </dxf>
    <dxf>
      <numFmt numFmtId="0" formatCode="General"/>
      <fill>
        <patternFill patternType="solid">
          <fgColor indexed="64"/>
          <bgColor theme="9" tint="-0.249977111117893"/>
        </patternFill>
      </fill>
      <alignment horizontal="general" vertical="bottom" textRotation="0" wrapText="0" indent="0" justifyLastLine="0" shrinkToFit="0" readingOrder="0"/>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pivotCacheDefinition" Target="pivotCache/pivotCacheDefinition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0</xdr:row>
          <xdr:rowOff>69850</xdr:rowOff>
        </xdr:from>
        <xdr:to>
          <xdr:col>6</xdr:col>
          <xdr:colOff>1028700</xdr:colOff>
          <xdr:row>4</xdr:row>
          <xdr:rowOff>127000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ea typeface="Calibri"/>
                  <a:cs typeface="Calibri"/>
                </a:rPr>
                <a:t>Gerar diagrama Four-Block</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ilva, João Francisco" id="{81CD8ACE-8031-483A-9CDD-A4A025486D27}" userId="S::joao.silva@wabtec.com::8240b565-c1a6-42d1-8e4d-c11636f8f678"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ilva, João Francisco" refreshedDate="45938.394273611113" createdVersion="8" refreshedVersion="8" minRefreshableVersion="3" recordCount="60" xr:uid="{BB4F729F-73D8-41FB-B82E-4BE252E87B8C}">
  <cacheSource type="worksheet">
    <worksheetSource name="ncmr"/>
  </cacheSource>
  <cacheFields count="25">
    <cacheField name="PowerAppsId" numFmtId="0">
      <sharedItems/>
    </cacheField>
    <cacheField name="cod_reliance" numFmtId="0">
      <sharedItems containsBlank="1"/>
    </cacheField>
    <cacheField name="status" numFmtId="0">
      <sharedItems/>
    </cacheField>
    <cacheField name="email_responsavel" numFmtId="0">
      <sharedItems/>
    </cacheField>
    <cacheField name="local" numFmtId="0">
      <sharedItems/>
    </cacheField>
    <cacheField name="data_requisicao" numFmtId="164">
      <sharedItems containsSemiMixedTypes="0" containsNonDate="0" containsDate="1" containsString="0" minDate="2025-07-31T15:59:12" maxDate="2025-10-07T21:46:21" count="60">
        <d v="2025-10-07T21:46:21"/>
        <d v="2025-10-06T21:42:07"/>
        <d v="2025-10-04T16:20:45"/>
        <d v="2025-10-04T16:13:08"/>
        <d v="2025-10-04T06:51:23"/>
        <d v="2025-10-02T18:54:47"/>
        <d v="2025-10-02T13:13:18"/>
        <d v="2025-10-02T13:10:12"/>
        <d v="2025-09-28T16:30:30"/>
        <d v="2025-09-26T20:00:45"/>
        <d v="2025-09-26T19:56:37"/>
        <d v="2025-09-25T19:57:51"/>
        <d v="2025-09-24T14:45:02"/>
        <d v="2025-09-24T14:12:23"/>
        <d v="2025-09-24T14:08:40"/>
        <d v="2025-09-23T12:12:39"/>
        <d v="2025-09-22T13:21:09"/>
        <d v="2025-09-19T19:16:33"/>
        <d v="2025-09-19T18:31:56"/>
        <d v="2025-09-19T15:13:44"/>
        <d v="2025-09-18T19:44:04"/>
        <d v="2025-09-18T17:58:05"/>
        <d v="2025-09-18T12:06:07"/>
        <d v="2025-09-18T06:50:57"/>
        <d v="2025-09-15T18:18:14"/>
        <d v="2025-09-13T21:32:05"/>
        <d v="2025-09-12T13:36:14"/>
        <d v="2025-09-12T02:24:37"/>
        <d v="2025-09-11T14:44:16"/>
        <d v="2025-09-11T14:32:19"/>
        <d v="2025-09-10T16:17:19"/>
        <d v="2025-09-10T15:53:23"/>
        <d v="2025-09-09T20:04:12"/>
        <d v="2025-09-08T20:16:16"/>
        <d v="2025-09-08T08:42:05"/>
        <d v="2025-09-04T23:40:34"/>
        <d v="2025-09-04T23:20:04"/>
        <d v="2025-09-04T13:49:19"/>
        <d v="2025-08-28T01:00:31"/>
        <d v="2025-08-27T20:37:42"/>
        <d v="2025-08-27T20:24:32"/>
        <d v="2025-08-25T12:18:37"/>
        <d v="2025-08-24T13:43:00"/>
        <d v="2025-08-23T08:19:35"/>
        <d v="2025-08-22T00:10:46"/>
        <d v="2025-08-21T22:24:11"/>
        <d v="2025-08-21T22:21:39"/>
        <d v="2025-08-21T16:46:28"/>
        <d v="2025-08-19T20:03:04"/>
        <d v="2025-08-19T19:43:19"/>
        <d v="2025-08-17T07:38:13"/>
        <d v="2025-08-16T11:59:45"/>
        <d v="2025-08-14T14:49:57"/>
        <d v="2025-08-14T14:21:20"/>
        <d v="2025-08-12T17:16:57"/>
        <d v="2025-08-12T15:35:17"/>
        <d v="2025-08-11T18:58:29"/>
        <d v="2025-08-11T11:57:22"/>
        <d v="2025-08-08T11:44:03"/>
        <d v="2025-07-31T15:59:12"/>
      </sharedItems>
      <fieldGroup par="24"/>
    </cacheField>
    <cacheField name="data_problema" numFmtId="14">
      <sharedItems containsSemiMixedTypes="0" containsNonDate="0" containsDate="1" containsString="0" minDate="2025-07-31T03:00:00" maxDate="2025-10-07T03:00:00"/>
    </cacheField>
    <cacheField name="part_number" numFmtId="0">
      <sharedItems/>
    </cacheField>
    <cacheField name="serial_number" numFmtId="0">
      <sharedItems containsMixedTypes="1" containsNumber="1" containsInteger="1" minValue="29" maxValue="313003"/>
    </cacheField>
    <cacheField name="descricao_part" numFmtId="0">
      <sharedItems containsBlank="1"/>
    </cacheField>
    <cacheField name="Informativa" numFmtId="0">
      <sharedItems containsBlank="1"/>
    </cacheField>
    <cacheField name="informativa_retrabalho" numFmtId="0">
      <sharedItems containsBlank="1"/>
    </cacheField>
    <cacheField name="errado" numFmtId="0">
      <sharedItems longText="1"/>
    </cacheField>
    <cacheField name="correto" numFmtId="0">
      <sharedItems longText="1"/>
    </cacheField>
    <cacheField name="qtd_itens" numFmtId="0">
      <sharedItems containsSemiMixedTypes="0" containsString="0" containsNumber="1" containsInteger="1" minValue="0" maxValue="58"/>
    </cacheField>
    <cacheField name="qtd_erros" numFmtId="0">
      <sharedItems containsSemiMixedTypes="0" containsString="0" containsNumber="1" containsInteger="1" minValue="0" maxValue="16"/>
    </cacheField>
    <cacheField name="prioridade" numFmtId="0">
      <sharedItems containsBlank="1"/>
    </cacheField>
    <cacheField name="modelo_locomotiva" numFmtId="0">
      <sharedItems/>
    </cacheField>
    <cacheField name="numero_locomotiva" numFmtId="0">
      <sharedItems containsSemiMixedTypes="0" containsString="0" containsNumber="1" containsInteger="1" minValue="0" maxValue="9890"/>
    </cacheField>
    <cacheField name="fornecedor" numFmtId="0">
      <sharedItems containsBlank="1" count="7">
        <s v="DCM"/>
        <s v="GCR"/>
        <s v="GBD"/>
        <s v="GCM"/>
        <m/>
        <s v="GCD"/>
        <s v="DCM - DCS" u="1"/>
      </sharedItems>
    </cacheField>
    <cacheField name="fabricante" numFmtId="0">
      <sharedItems containsBlank="1"/>
    </cacheField>
    <cacheField name="aos_cuidados" numFmtId="0">
      <sharedItems containsBlank="1"/>
    </cacheField>
    <cacheField name="origem_do_item" numFmtId="0">
      <sharedItems/>
    </cacheField>
    <cacheField name="Days (data_requisicao)" numFmtId="0" databaseField="0">
      <fieldGroup base="5">
        <rangePr groupBy="days" startDate="2025-07-31T15:59:12" endDate="2025-10-07T21:46:21"/>
        <groupItems count="368">
          <s v="&lt;31/07/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7/10/2025"/>
        </groupItems>
      </fieldGroup>
    </cacheField>
    <cacheField name="Months (data_requisicao)" numFmtId="0" databaseField="0">
      <fieldGroup base="5">
        <rangePr groupBy="months" startDate="2025-07-31T15:59:12" endDate="2025-10-07T21:46:21"/>
        <groupItems count="14">
          <s v="&lt;31/07/2025"/>
          <s v="jan"/>
          <s v="fev"/>
          <s v="mar"/>
          <s v="abr"/>
          <s v="mai"/>
          <s v="jun"/>
          <s v="jul"/>
          <s v="ago"/>
          <s v="set"/>
          <s v="out"/>
          <s v="nov"/>
          <s v="dez"/>
          <s v="&gt;07/10/20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NCMR_20251007_184620_84E902025ABG2"/>
    <s v="NCMR-2025-116246"/>
    <s v="Emitido"/>
    <s v="amanda.doria@wabtec.com"/>
    <s v="GA1"/>
    <x v="0"/>
    <d v="2025-10-07T03:00:00"/>
    <s v="84E902025ABG2"/>
    <s v="KS24012094"/>
    <s v="POWER ASSEMBLY"/>
    <s v="Não"/>
    <m/>
    <s v="Identificado camisa do conjunto de força novo com oxidação."/>
    <s v="Camisa do conjunto de força sem oxidação."/>
    <n v="1"/>
    <n v="1"/>
    <s v="3. Urgente"/>
    <s v="ES44ACi"/>
    <n v="8468"/>
    <x v="0"/>
    <s v="GRV-Grove City Manufacturing"/>
    <m/>
    <s v=""/>
  </r>
  <r>
    <s v="NCMR_20251006_184207_41A296352CMP245RBZ"/>
    <s v="NCMR-2025-115525"/>
    <s v="Emitido"/>
    <s v="lucas.marcatto@wabtec.com"/>
    <s v="GA1"/>
    <x v="1"/>
    <d v="2025-10-06T03:00:00"/>
    <s v="41A296352CMP245RBZ"/>
    <s v="1503WA03547"/>
    <s v="MODULO RADIO DPR RAPAIRED"/>
    <s v="Não"/>
    <m/>
    <s v="Ao realizar a medição de potência dos rádios, a posição B não libera potência._x000a__x000a_Possível falha da chave de acionamento."/>
    <s v="Ao acionar a chave de testes para as posições A e B, deve-se liberar potência em seus respectivos canais."/>
    <n v="1"/>
    <n v="1"/>
    <s v="5. Não urgente"/>
    <s v="AC44i"/>
    <n v="2519"/>
    <x v="1"/>
    <s v="Contagem Reman On-site"/>
    <m/>
    <s v=""/>
  </r>
  <r>
    <s v="NCMR_20251004_132045_84A239867ACP1"/>
    <s v="NCMR-2025-114994"/>
    <s v="Emitido"/>
    <s v="mayara.dossantos@wabtec.com"/>
    <s v="GA1"/>
    <x v="2"/>
    <d v="2025-10-04T03:00:00"/>
    <s v="84A239867ACP1"/>
    <s v="N/A"/>
    <s v="BATTERY KDZ 651"/>
    <s v="Sim"/>
    <s v="Desvirar os paletes para que assim fosse possivel utilizarmos. "/>
    <s v="Recebemos o total de 30 paletes para armazenagem de baterias BATTERY KDZ 651, infelizmente os paletes recebidos vieram virados, assim dificultando a movimentação e a paletização dos componentes, colocando em risco a integridade tanto dos paletes quanto da operação.  _x000a_"/>
    <s v="Deveriamos ter recebido os paletes desvirados para que assim não fosse nescessário a movimentação insegura. "/>
    <n v="30"/>
    <n v="1"/>
    <s v="5. Não urgente"/>
    <s v="N/A"/>
    <n v="0"/>
    <x v="1"/>
    <m/>
    <m/>
    <s v=""/>
  </r>
  <r>
    <s v="NCMR_20251004_131307_N733P29036"/>
    <s v="NCMR-2025-114989"/>
    <s v="Emitido"/>
    <s v="mayara.dossantos@wabtec.com"/>
    <s v="GA1"/>
    <x v="3"/>
    <d v="2025-10-04T03:00:00"/>
    <s v="N733P29036"/>
    <s v="N/A"/>
    <s v="BOLT   .50-13 X 2.25"/>
    <s v="Não"/>
    <m/>
    <s v="Material não condiz com PTN -  Medidas inconforme"/>
    <s v="Party Number BOLT   .50-13 X 2.25_x000a_"/>
    <n v="16"/>
    <n v="1"/>
    <s v="4. Pouco urgente"/>
    <s v="N/A"/>
    <n v="0"/>
    <x v="2"/>
    <s v="Fixa Brasil Distribuidora De Parafusos E Afins Ltda"/>
    <m/>
    <s v=""/>
  </r>
  <r>
    <s v="NCMR_20251004_035123_N402P47B13"/>
    <s v="NCMR-2025-114987"/>
    <s v="Emitido"/>
    <s v="murilo.rezende@wabtec.com"/>
    <s v="GA1"/>
    <x v="4"/>
    <d v="2025-10-04T03:00:00"/>
    <s v="N402P47B13"/>
    <s v="N/A"/>
    <s v="WASHER         5/8 REG"/>
    <s v="Não"/>
    <m/>
    <s v="Material encontrado no estoque não condiz com o part number."/>
    <s v="As arruelas deveriam ser de um modelo maior."/>
    <n v="17"/>
    <n v="1"/>
    <s v="4. Pouco urgente"/>
    <s v="N/A"/>
    <n v="0"/>
    <x v="3"/>
    <s v="Fixa Brasil Distribuidora De Parafusos E Afins Ltda"/>
    <m/>
    <s v=""/>
  </r>
  <r>
    <s v="NCMR_20251002_155447_41D712249G2"/>
    <m/>
    <s v="Emitido"/>
    <s v="mayara.dossantos@wabtec.com"/>
    <s v="GA1"/>
    <x v="5"/>
    <d v="2025-10-02T03:00:00"/>
    <s v="41D712249G2"/>
    <s v="N/A"/>
    <s v="Lever"/>
    <m/>
    <m/>
    <s v="MATERIAL RECEBIDO NÃO CONFERE COM PTN 16/09/2025 NF 216048_x000a_"/>
    <s v="MATERIAL CORRETO EM ANEXO"/>
    <n v="2"/>
    <n v="1"/>
    <s v="4. Pouco urgente"/>
    <s v="N/A"/>
    <n v="0"/>
    <x v="4"/>
    <s v="ERI-Erie Parts Warehouse"/>
    <s v="luciano.pereira@wabtec.com"/>
    <s v="Fornecedor"/>
  </r>
  <r>
    <s v="NCMR_20251002_101317_4X1796RBZ"/>
    <s v="NCMR-2025-114038"/>
    <s v="Emitido"/>
    <s v="washington.viana@wabtec.com"/>
    <s v="GA1"/>
    <x v="6"/>
    <d v="2025-10-01T03:00:00"/>
    <s v="4X1796RBZ"/>
    <s v="15-10J0-02193"/>
    <s v="16CP MODULE NYAB (776846-1585) REPAIRED"/>
    <s v="Não"/>
    <m/>
    <s v="Porção 16 apresentando falha de (freio reduzido 036 e LED Vermelho aceso) durante os testes de validação._x000a_"/>
    <s v="Porção sem falhas."/>
    <n v="1"/>
    <n v="1"/>
    <s v="5. Não urgente"/>
    <s v="AC44i"/>
    <n v="9885"/>
    <x v="1"/>
    <s v="NYAB"/>
    <m/>
    <s v=""/>
  </r>
  <r>
    <s v="NCMR_20251002_101012_4X1796RBZ"/>
    <s v="NCMR-2025-114037"/>
    <s v="Emitido"/>
    <s v="washington.viana@wabtec.com"/>
    <s v="GA1"/>
    <x v="7"/>
    <d v="2025-10-01T03:00:00"/>
    <s v="4X1796RBZ"/>
    <s v="18-05J0-02426KO"/>
    <s v="16CP MODULE NYAB (776846-1585) REPAIRED"/>
    <s v="Não"/>
    <m/>
    <s v="Durante os testes finais de freio porção 16 apresentou vazamento na parte frontal."/>
    <s v="Porção sem vazamentos"/>
    <n v="1"/>
    <n v="1"/>
    <s v="5. Não urgente"/>
    <s v="AC44i"/>
    <n v="9885"/>
    <x v="1"/>
    <s v="NYAB"/>
    <m/>
    <s v=""/>
  </r>
  <r>
    <s v="NCMR_20250928_133029_41C613036ABP1"/>
    <s v="NCMR-2025-112270"/>
    <s v="Emitido"/>
    <s v="fernando.sena@wabtec.com"/>
    <s v="GA1"/>
    <x v="8"/>
    <d v="2025-09-28T03:00:00"/>
    <s v="41C613036ABP1"/>
    <n v="29"/>
    <s v="UPPER-BEARING SHEL"/>
    <m/>
    <m/>
    <s v="Mancal superior ( casquilho) não deu montagem ao tentar instalar na loco 693 posição 3. Ao instalar novo casquilho deu montagem normalmente."/>
    <s v="Mancal superior ( casquilho) permitir montagem no bloco do MD"/>
    <n v="1"/>
    <n v="1"/>
    <s v="3. Urgente"/>
    <s v="AC44i"/>
    <n v="693"/>
    <x v="0"/>
    <s v="Miba Bearings US LLC"/>
    <m/>
    <s v=""/>
  </r>
  <r>
    <s v="NCMR_20250926_170044_41A212869P11RBZ"/>
    <s v="NCMR-2025-112257"/>
    <s v="Emitido"/>
    <s v="mayara.dossantos@wabtec.com"/>
    <s v="GA1"/>
    <x v="9"/>
    <d v="2025-09-26T03:00:00"/>
    <s v="41A212869P11RBZ"/>
    <s v="N/A"/>
    <s v="REPAIRED MAGNET SOLENOID VALVE"/>
    <m/>
    <m/>
    <s v="Material recebido sem a devida identificação. Componentes dos misturados dificultando a identificação do fisico x PartyNumbers_x000a__x000a_Itens:_x000a__x000a_41A212869P11RBZ_x000a_41A240644P2RBZ_x000a_41B549239ABP10RBZ_x000a_84A206749P1RBZ_x000a__x000a__x000a__x000a_"/>
    <s v="A identificação dos componentes devem ser individuais e os itens devem estar segregados de maneira que possa ser identificado. "/>
    <n v="7"/>
    <n v="1"/>
    <s v="4. Pouco urgente"/>
    <s v="N/A"/>
    <n v="0"/>
    <x v="1"/>
    <s v="Contagem Reman On-site"/>
    <m/>
    <s v=""/>
  </r>
  <r>
    <s v="NCMR_20250926_165637_4X1355RBZ"/>
    <s v="NCMR-2025-112269"/>
    <s v="Emitido"/>
    <s v="mayara.dossantos@wabtec.com"/>
    <s v="GA1"/>
    <x v="10"/>
    <d v="2025-09-26T03:00:00"/>
    <s v="4X1355RBZ"/>
    <s v="N/A"/>
    <s v="NYAB EPCU MODULE DBTV REPAIRED"/>
    <m/>
    <m/>
    <s v="Material recebido com dados inconformes. Itens faturados e recebidos são 4X1355RBZ, mas etiquetados incorretamente como componentes 4X1355. Inconformidade na identificação do componente. "/>
    <s v="Material deve estar identificado de acordo com PTN de faturamento. _x000a__x000a_181058_x0009_4X1355RBZ_x0009_NYAB EPCU MODULE DBTV REPAIRED_x000a_181058_x0009_4X1355RBZ_x0009_NYAB EPCU MODULE DBTV REPAIRED_x000a_181075_x0009_4X1355RBZ_x0009_NYAB EPCU MODULE DBTV REPAIRED_x000a_181075_x0009_4X1355RBZ_x0009_NYAB EPCU MODULE DBTV REPAIRED_x000a_181075_x0009_4X1355RBZ_x0009_NYAB EPCU MODULE DBTV REPAIRED_x000a_181075_x0009_4X1355RBZ_x0009_NYAB EPCU MODULE DBTV REPAIRED"/>
    <n v="6"/>
    <n v="1"/>
    <s v="4. Pouco urgente"/>
    <s v="N/A"/>
    <n v="0"/>
    <x v="1"/>
    <s v="NYAB"/>
    <m/>
    <s v=""/>
  </r>
  <r>
    <s v="NCMR_20250925_165750_4X1796RBZ"/>
    <m/>
    <s v="Emitido"/>
    <s v="fernando.sena@wabtec.com"/>
    <s v="GA1"/>
    <x v="11"/>
    <d v="2025-09-25T03:00:00"/>
    <s v="4X1796RBZ"/>
    <s v="2209-L0-02753"/>
    <m/>
    <m/>
    <m/>
    <s v="Loco efetuou a troca da porção 16 por plano e não aplicava freio quando estava desligada. Ao substituir a porção 16 aplicou freio normalmente."/>
    <s v="Loco aplicar freio mesmo quando desligada"/>
    <n v="1"/>
    <n v="1"/>
    <s v="3. Urgente"/>
    <s v="DASH9"/>
    <n v="9033"/>
    <x v="4"/>
    <s v="NYAB/KNORR"/>
    <s v="flavio.soares@Wabtec.com"/>
    <s v="Fornecedor"/>
  </r>
  <r>
    <s v="NCMR_20250924_114501_41C667827G1"/>
    <s v="NCMR-2025-110478"/>
    <s v="Emitido"/>
    <s v="mayara.dossantos@wabtec.com"/>
    <s v="GA1"/>
    <x v="12"/>
    <d v="2025-09-24T03:00:00"/>
    <s v="41C667827G1"/>
    <s v="N/A"/>
    <s v="Silicone Sponge Gask Asm"/>
    <m/>
    <m/>
    <s v="Item inspecionado no recebimento e detectamos o mesmo erro já reportado na NCMR-2025-104303 . _x000a__x000a_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1"/>
    <s v="3. Urgente"/>
    <s v="N/A"/>
    <n v="0"/>
    <x v="0"/>
    <s v="LGG Industrial, Inc."/>
    <m/>
    <s v=""/>
  </r>
  <r>
    <s v="NCMR_20250924_111223_121X1285RBZ"/>
    <s v="NCMR-2025-110467"/>
    <s v="Emitido"/>
    <s v="mayara.dossantos@wabtec.com"/>
    <s v="GA1"/>
    <x v="13"/>
    <d v="2025-09-24T03:00:00"/>
    <s v="121X1285RBZ"/>
    <s v="N/A"/>
    <s v="REPAIRED CYL ASM"/>
    <m/>
    <m/>
    <s v="Ao realizar a inspeção de recebimento, foi constatado que os componentes recebidos estão molhados/umidos, colocando em risco a integridade dos itens. "/>
    <s v="Componentes deveriam estar secos. "/>
    <n v="18"/>
    <n v="1"/>
    <s v="4. Pouco urgente"/>
    <s v="N/A"/>
    <n v="0"/>
    <x v="1"/>
    <s v="Contagem Reman On-site"/>
    <m/>
    <s v=""/>
  </r>
  <r>
    <s v="NCMR_20250924_110839_41A113439G1RBZ"/>
    <s v="NCMR-2025-110386"/>
    <s v="Emitido"/>
    <s v="fernando.sena@wabtec.com"/>
    <s v="GA1"/>
    <x v="14"/>
    <d v="2025-09-24T03:00:00"/>
    <s v="41A113439G1RBZ"/>
    <n v="312292"/>
    <s v="MOTOR DIESEL MODELO 7FDL AC 44 REPARADO"/>
    <m/>
    <m/>
    <s v="MD com falta de componente no CF8R ( suporte do chicote da bomba injetora ) e falta da trava da abraçadeira dos filtros de diesel."/>
    <s v="CF8R com suporte para fixação do chicote da bomba injetora e abraçadeira com trava"/>
    <n v="2"/>
    <n v="2"/>
    <s v="4. Pouco urgente"/>
    <s v="AC44i"/>
    <n v="9890"/>
    <x v="1"/>
    <s v="Contagem Reman On-site"/>
    <s v="gabriel.barbosa@wabtec.com"/>
    <s v="Fábrica"/>
  </r>
  <r>
    <s v="NCMR_20250923_091239_41A113439G1RBZ"/>
    <s v="NCMR-2025-111235"/>
    <s v="Emitido"/>
    <s v="carlos.vilchez@Wabtec.com"/>
    <s v="GA1"/>
    <x v="15"/>
    <d v="2025-09-23T03:00:00"/>
    <s v="41A113439G1RBZ"/>
    <n v="313003"/>
    <s v="MOTOR DIESEL MODELO 7FDL AC 44 REPARADO"/>
    <m/>
    <m/>
    <s v="Durante revisão da loco 9835 foi identificado vazamento de óleo na base de 3 conjuntos de força. Durante diagnóstico identificado falta de orings ( haste válvulas  nas base dos conjuntos de força. - causa do vazamento de óleo. /bomba)"/>
    <s v="Orings presentes e  adequadamente montados"/>
    <n v="1"/>
    <n v="3"/>
    <s v="2. Muito urgente"/>
    <s v="AC44i"/>
    <n v="9835"/>
    <x v="1"/>
    <s v="Contagem Reman On-site"/>
    <s v="gabriel.barbosa@wabtec.com"/>
    <s v="Fábrica"/>
  </r>
  <r>
    <s v="NCMR_20250922_102108_17KC108RBZ"/>
    <s v="NCMR-2025-108799"/>
    <s v="Emitido"/>
    <s v="bruna.montenegro@Wabtec.com"/>
    <s v="GA1"/>
    <x v="16"/>
    <d v="2025-09-20T03:00:00"/>
    <s v="17KC108RBZ  "/>
    <s v="KC09020006"/>
    <s v="CONTROLLER MASTER REPAIRED"/>
    <m/>
    <m/>
    <s v="Durante os testes de validação do controlador mestre foi identificado que a abertura do cames S em ponto 8, cortando a excitação da locomotiva._x000a_"/>
    <s v="Controlador funcionando conforme especificação."/>
    <n v="1"/>
    <n v="1"/>
    <s v="5. Não urgente"/>
    <s v="AC44i"/>
    <n v="8318"/>
    <x v="1"/>
    <s v="Contagem Reman On-site"/>
    <m/>
    <s v=""/>
  </r>
  <r>
    <s v="NCMR_20250919_161632_84D705080G1"/>
    <s v="NCMR-2025-109489"/>
    <s v="Emitido"/>
    <s v="roger.santos@wabtec.com"/>
    <s v="GA1"/>
    <x v="17"/>
    <d v="2025-09-19T03:00:00"/>
    <s v="84D705080G1"/>
    <s v="N/A"/>
    <s v="RETURN TUBE"/>
    <m/>
    <m/>
    <s v="Calha central dos Radiadores com chapa de fixação na base soldada fora do padrão da locomotiva._x000a_"/>
    <s v="Chapa com alguns centimetros para traz onde se casa com as entradas para os parafusos"/>
    <n v="2"/>
    <n v="1"/>
    <s v="3. Urgente"/>
    <s v="AC44i"/>
    <n v="9858"/>
    <x v="2"/>
    <s v="Metalfisa Metalurgica Eireli"/>
    <m/>
    <s v=""/>
  </r>
  <r>
    <s v="NCMR_20250919_153156_41A317303ACP43"/>
    <m/>
    <s v="Requisitado"/>
    <s v="sancho.oliveira@Wabtec.com"/>
    <s v="GA1"/>
    <x v="18"/>
    <d v="2025-09-19T03:00:00"/>
    <s v="41A317303ACP43"/>
    <s v="N/A"/>
    <s v="Transducer - DO NOT USE IN COOLING SYSTEM"/>
    <m/>
    <m/>
    <s v="Motor diesel S/N 312999 veio para araraquara com sensor de pressão de água P/N 41A317303ACP43, de acordo com o registro do eservices este P/N foi subsuper excedido pelo PN 41A317303ACP53._x000a_"/>
    <s v="Necessário realizar a substituição do sensor de pressão de água pelo PN 41A317303ACP53."/>
    <n v="1"/>
    <n v="1"/>
    <s v="4. Pouco urgente"/>
    <s v="N/A"/>
    <n v="0"/>
    <x v="0"/>
    <s v="Sensata Technologies, Inc."/>
    <m/>
    <s v=""/>
  </r>
  <r>
    <s v="NCMR_20250919_121343_41A113439G1RBZ"/>
    <s v="NCMR-2025-108224"/>
    <s v="Emitido"/>
    <s v="sancho.oliveira@Wabtec.com"/>
    <s v="GA1"/>
    <x v="19"/>
    <d v="2025-09-16T03:00:00"/>
    <s v="41A113439G1RBZ"/>
    <n v="312806"/>
    <s v="MOTOR DIESEL MODELO 7FDL AC 44 REPARADO"/>
    <m/>
    <m/>
    <s v="- Identificado durante os testes de saída do motor de OH da locomotiva 9884 desvio na regulagem de ponto de bomba injetora de toda bancada esquerda do motor diesel._x000a_"/>
    <s v="Foi realizado a correção da regulagem de ponto de bomba de toda bancada esquerda do motor diesel."/>
    <n v="16"/>
    <n v="16"/>
    <s v="5. Não urgente"/>
    <s v="AC44i"/>
    <n v="9884"/>
    <x v="4"/>
    <m/>
    <m/>
    <s v=""/>
  </r>
  <r>
    <s v="NCMR_20250918_164404_5GMG210"/>
    <s v="NCMR-2025-108779"/>
    <s v="Emitido"/>
    <s v="messias.cota@wabtec.com"/>
    <s v="GA2"/>
    <x v="20"/>
    <d v="2025-09-18T03:00:00"/>
    <s v="5GMG210RBZ"/>
    <s v="WE1511040"/>
    <s v="ALTERNATOR REPAIRED"/>
    <m/>
    <m/>
    <s v="Cabos internos do alternador em atrito"/>
    <s v="Cabos sem atritos ou com separadores"/>
    <n v="1"/>
    <n v="1"/>
    <s v="4. Pouco urgente"/>
    <s v="ES43BBi"/>
    <n v="1"/>
    <x v="4"/>
    <m/>
    <m/>
    <s v=""/>
  </r>
  <r>
    <s v="NCMR_20250918_145804_5GE761ANSRBZ"/>
    <s v="NCMR-2025-107685"/>
    <s v="Emitido"/>
    <s v="edsonaguiar.silva@wabtec.com"/>
    <s v="GA2"/>
    <x v="21"/>
    <d v="2025-09-18T03:00:00"/>
    <s v="5GE761ANSRBZ"/>
    <s v="EE12020502"/>
    <s v="REPAIRED TRACTION MOTOR 5GE761ANS"/>
    <m/>
    <m/>
    <s v="Ao realizar inspeção foi identificado pinhão com marcas de roçamento e aquecimento em alguns dentes do pinhão."/>
    <s v="Sem marcas no pinhão."/>
    <n v="1"/>
    <n v="1"/>
    <s v="3. Urgente"/>
    <s v="DASH9"/>
    <n v="8305"/>
    <x v="1"/>
    <s v="Contagem Reman On-site"/>
    <m/>
    <s v=""/>
  </r>
  <r>
    <s v="NCMR_20250918_090607_41A314692AVP1RBZ"/>
    <s v="NCMR-2025-107341"/>
    <s v="Emitido"/>
    <s v="joao.silva@wabtec.com"/>
    <s v="GA2"/>
    <x v="22"/>
    <d v="2025-09-14T03:00:00"/>
    <s v="41A314692AVP1RBZ"/>
    <s v="1223-0815"/>
    <s v="HVAC REPAIRED"/>
    <m/>
    <m/>
    <s v="Grade de proteção do ventilador do ar condicionado muito alta, impossibilitando a montagem da tampa de acabamento na locomotiva._x000a_"/>
    <s v="A grade de proteção deve permitir a montagem e fechamento da tampa de acabamento da locomotiva.  "/>
    <n v="1"/>
    <n v="1"/>
    <s v="5. Não urgente"/>
    <s v="ES44ACi"/>
    <n v="8467"/>
    <x v="1"/>
    <s v="Contagem Reman On-site"/>
    <m/>
    <s v=""/>
  </r>
  <r>
    <s v="NCMR_20250918_035056_41A314692AMP31"/>
    <s v="NCMR-2025-107312"/>
    <s v="Emitido"/>
    <s v="vitor.honorato@wabtec.com"/>
    <s v="GA1"/>
    <x v="23"/>
    <d v="2025-09-17T03:00:00"/>
    <s v="41A314692AMP31"/>
    <s v="0525-0380"/>
    <s v="AIR COND SPEC  NARROW DUCTS"/>
    <m/>
    <m/>
    <s v="Ar condicionado da locomotiva que chegou da fabrica (startup) não está refrigerando. Foi verificado todo o circuito e estava ok, porém mesmo assim o ar não refrigera."/>
    <s v="Ar condicionado funcionando nos modos de operação de refrigeração, aquecimento ou apenas ventilação, em todas as velocidades."/>
    <n v="1"/>
    <n v="1"/>
    <s v="5. Não urgente"/>
    <s v="ES44ACi"/>
    <n v="9610"/>
    <x v="3"/>
    <s v="ZUS-ZUS - Kit Consolidation"/>
    <m/>
    <s v=""/>
  </r>
  <r>
    <s v="NCMR_20250915_151814_84B548276P2"/>
    <s v="NCMR-2025-106644"/>
    <s v="Emitido"/>
    <s v="jean.vilarosa@wabtec.com"/>
    <s v="GA2"/>
    <x v="24"/>
    <d v="2025-09-15T03:00:00"/>
    <s v="84B548276P2"/>
    <s v="N/A"/>
    <s v="WEAR PLATE"/>
    <m/>
    <m/>
    <s v="Ao realizar a conferência do material recebido de GBD, foi constatado que o mesmo veio com a quantidade divergente referente a NF:215831, veio 2 unidades."/>
    <s v="O correto seria ter vindo apenas 1 unidade."/>
    <n v="1"/>
    <n v="1"/>
    <s v="5. Não urgente"/>
    <s v="N/A"/>
    <n v="0"/>
    <x v="2"/>
    <s v="Tecnifox Ind E Com Ltda Epp"/>
    <s v="miguel.ramos@wabtec.com"/>
    <s v="Fornecedor"/>
  </r>
  <r>
    <s v="NCMR_20250913_183204_4X1796RBZ"/>
    <s v="NCMR-2025-105469"/>
    <s v="Emitido"/>
    <s v="amanda.doria@wabtec.com"/>
    <s v="GA1"/>
    <x v="25"/>
    <d v="2025-09-13T03:00:00"/>
    <s v="4X1796RBZ"/>
    <s v="18-07J0-02444"/>
    <s v="16CP MODULE NYAB (776846-1585) REPAIRED"/>
    <m/>
    <m/>
    <s v="Não foi possível instalar porção de freio devido os blocos estarem montados desalinhados. "/>
    <s v="Blocos da porção de freio montados alinhados."/>
    <n v="1"/>
    <n v="1"/>
    <m/>
    <s v="AC44i"/>
    <n v="8427"/>
    <x v="4"/>
    <s v="NYAB"/>
    <s v="flavio.soares@Wabtec.com"/>
    <s v="Fornecedor"/>
  </r>
  <r>
    <s v="NCMR_20250912_103613_41C667827G1 "/>
    <s v="NCMR-2025-104856 "/>
    <s v="Emitido"/>
    <s v="hinaiane.dasilva126@wabtec.com"/>
    <s v="GA2"/>
    <x v="26"/>
    <d v="2025-09-12T03:00:00"/>
    <s v="41C667827G1 "/>
    <s v="N/A"/>
    <s v="Silicone Sponge Gask Asm"/>
    <m/>
    <m/>
    <s v="O PN 41C667827G1 se refere a um kit que contém 4 itens, sendo: 2 un. do 41C667827P1, 1 un. do 41C667827P2 e 1 un. do 41C667827P3._x000a_O recebimento de 1 kit consta como recebimento de 4 unidades do PN 41C667827G1, quando deveria ser de 1 unidade do PN 41C667827G1 para cada kit._x000a_"/>
    <s v="O recebimento de 1 kit, deve constar como recebimento de apenas uma unidade do PN 41C667827G1. Que por sua vez deve ser composto por 2 unidades do 41C667827P1 + 1 un do 41C667827P2 e 1 un do 41C667827P3"/>
    <n v="2"/>
    <n v="0"/>
    <m/>
    <s v="N/A"/>
    <n v="0"/>
    <x v="0"/>
    <s v="LGG Industrial, Inc."/>
    <m/>
    <s v=""/>
  </r>
  <r>
    <s v="NCMR_20250911_232437_000000"/>
    <s v="NCMR-2025-106981"/>
    <s v="Emitido"/>
    <s v="john.silva@wabtec.com"/>
    <s v="GA2"/>
    <x v="27"/>
    <d v="2025-09-11T03:00:00"/>
    <s v="84D739269ABG1"/>
    <s v="N/A"/>
    <s v="WATER PIPING"/>
    <m/>
    <m/>
    <s v="As mangueiras de aplicação na ES 43 nos sistemas de água e óleo veem com uma proteção entorno na mangueira e durante aplicação faz se necessário a remoção das proteções de todas as mangueiras antes da aplicação, pois nessa condição foi passado que a mesma retem resíduos químicos durante a lavagem da locomotiva, e dessa forma provoca a degradação das mangueiras quimicamente."/>
    <s v="Segundo o que foi orietando as mangueiras deveriam vir sem as proteções."/>
    <n v="0"/>
    <n v="1"/>
    <s v="5. Não urgente"/>
    <s v="ES43BBi"/>
    <n v="8331"/>
    <x v="4"/>
    <m/>
    <m/>
    <s v=""/>
  </r>
  <r>
    <s v="NCMR_20250911_114415_41C667827G1"/>
    <s v="NCMR-2025-104303"/>
    <s v="Emitido"/>
    <s v="mayara.dossantos@wabtec.com"/>
    <s v="GA1"/>
    <x v="28"/>
    <d v="2025-09-11T03:00:00"/>
    <s v="41C667827G1"/>
    <s v="N/A"/>
    <s v="Silicone Sponge Gask Asm"/>
    <m/>
    <m/>
    <s v="O PN 41C667827G1 se refere a um kit que contém 4 itens. Foram recebidas 4 peças (1kit) e foi considerado  o recebimento de 4kits. Cada kit deve conter 2 un. do 41C667827P1, 1 un. do 41C667827P2 e 1 un. do 41C667827P3._x000a_O recebimento de 1 kit consta como recebimento de 4 unidades do PN 41C667827G1, quando deveria ser de 1 unidade do PN 41C667827G1 para cada kit._x000a__x000a_Há portanto um excesso de 3 kits no saldo deste PN. Foi recebido 1kit e consta como recebimento de 4."/>
    <s v="O recebimento de 1 kit, deve constar como recebimento de apenas uma unidade do PN 41C667827G1. Que por sua vez deve ser composto por 2 unidades do 41C667827P1 + 1 un do 41C667827P2 e 1 un do 41C667827P3."/>
    <n v="3"/>
    <n v="1"/>
    <m/>
    <s v="DASH9"/>
    <n v="9044"/>
    <x v="0"/>
    <s v="LGG Industrial, Inc."/>
    <m/>
    <s v=""/>
  </r>
  <r>
    <s v="NCMR_20250911_113219_41B513098P2"/>
    <s v="NCMR-2025-104166 "/>
    <s v="Emitido"/>
    <s v="mayara.dossantos@wabtec.com"/>
    <s v="GA1"/>
    <x v="29"/>
    <d v="2025-09-11T03:00:00"/>
    <s v="41B513098P2"/>
    <s v="N/A"/>
    <s v="GASKET"/>
    <m/>
    <m/>
    <s v="O recebimento de 1 kit consta como recebimento de 4 unidades do PN 41C667827G1, quando deveria ser de 1 unidade do PN 41C667827G1 para cada kit."/>
    <s v="Material físico conforme especificação técnica do part number. Item correto é uma junta de papel."/>
    <n v="2"/>
    <n v="1"/>
    <m/>
    <s v="N/A"/>
    <n v="0"/>
    <x v="0"/>
    <s v="Sealing Devices Inc."/>
    <s v="luciano.pereira@wabtec.com, _x000d__x000a_thiago.santos@wabtec.com"/>
    <s v="Fornecedor"/>
  </r>
  <r>
    <s v="NCMR_20250910_131719_115X1033-1"/>
    <s v="NCMR-2025-103508"/>
    <s v="Emitido"/>
    <s v="daiana.costa@wabtec.com"/>
    <s v="GA1"/>
    <x v="30"/>
    <d v="2025-09-10T03:00:00"/>
    <s v="115X1033-1"/>
    <s v="N/A"/>
    <s v="Gasket, Cork/Rubber, Rocker End Cap"/>
    <m/>
    <m/>
    <s v="Há portanto um excesso de 3 kits no saldo deste PN. Foi recebido 1kit e consta como recebimento de 4."/>
    <s v="material fisico venha correto com o partnumber."/>
    <n v="20"/>
    <n v="1"/>
    <m/>
    <s v="N/A"/>
    <n v="0"/>
    <x v="0"/>
    <s v="Sealing Devices Inc."/>
    <s v="luciano.pereira@wabtec.com, _x000d__x000a_thiago.santos@wabtec.com"/>
    <s v="Fornecedor"/>
  </r>
  <r>
    <s v="NCMR_20250910_125322_41A212633P4"/>
    <s v="NCMR-2025-103494"/>
    <s v="Emitido"/>
    <s v="daiana.costa@wabtec.com"/>
    <s v="GA1"/>
    <x v="31"/>
    <d v="2025-09-10T03:00:00"/>
    <s v="41A212633P4"/>
    <s v="N/A"/>
    <s v="SHT &amp; BRG"/>
    <m/>
    <m/>
    <s v="-1 un. do 41C667827P3."/>
    <s v="material completo com todas as partes."/>
    <n v="1"/>
    <n v="1"/>
    <m/>
    <s v="N/A"/>
    <n v="0"/>
    <x v="0"/>
    <s v="Commercial Vehicle Systems Inc"/>
    <s v="luciano.pereira@wabtec.com, _x000d__x000a_thiago.santos@wabtec.com"/>
    <s v="Fornecedor"/>
  </r>
  <r>
    <s v="NCMR_20250909_170411_41A313392DLP2"/>
    <s v="NCMR-2025-103354"/>
    <s v="Emitido"/>
    <s v="daniel.alves2@wabtec.com"/>
    <s v="GA1"/>
    <x v="32"/>
    <d v="2025-09-09T03:00:00"/>
    <s v="41A313392DLP2"/>
    <s v="N/A"/>
    <s v="WIRE-CABLE 2+DRAIN #20AWG"/>
    <m/>
    <m/>
    <s v="O recebimento de 1 kit consta como recebimento de 4 unidades do PN 41C667827G1, quando deveria ser de 1 unidade do PN 41C667827G1 para cada kit."/>
    <s v="Medida idela em peças de 280 FT "/>
    <n v="1"/>
    <n v="1"/>
    <m/>
    <s v="AC44i"/>
    <n v="0"/>
    <x v="0"/>
    <s v="Prysmian Cables and Systems USA, LLC"/>
    <s v="luciano.pereira@wabtec.com, _x000d__x000a_thiago.santos@wabtec.com"/>
    <s v="Fornecedor"/>
  </r>
  <r>
    <s v="NCMR_20250908_171615_41B517789ADG2"/>
    <s v="NCMR-2025-102557"/>
    <s v="Emitido"/>
    <s v="mayara.dossantos@wabtec.com"/>
    <s v="GA1"/>
    <x v="33"/>
    <d v="2025-09-08T03:00:00"/>
    <s v="41B517789ADG2"/>
    <s v="N/A"/>
    <s v="CAP ASM"/>
    <m/>
    <m/>
    <s v="Material não conforme, material faltando peça. PN referente a Tampa. NF de recebimento 179917. _x000a_"/>
    <s v="Material correto - CAP "/>
    <n v="1"/>
    <n v="1"/>
    <m/>
    <s v="N/A"/>
    <n v="0"/>
    <x v="0"/>
    <s v="Wisco Products, Incorporated"/>
    <s v="luciano.pereira@wabtec.com, _x000d__x000a_thiago.santos@wabtec.com"/>
    <s v="Fornecedor"/>
  </r>
  <r>
    <s v="NCMR_20250908_054205_132X1825-2RBZ"/>
    <s v="NCMR-2025-102581"/>
    <s v="Emitido"/>
    <s v="jefferson.silva@wabtec.com"/>
    <s v="GA1"/>
    <x v="34"/>
    <d v="2025-09-08T03:00:00"/>
    <s v="132X1825-2RBZ"/>
    <s v="C5750155"/>
    <s v="PUMP FUEL DIESEL HIGH PRESSURE REPAIRED MSA"/>
    <m/>
    <m/>
    <s v="Bomba injetora instalada na loco 2512 devido a troca por MWH, ao realizar testes de funcionamento apresentou vazamento de Combustivel entre a junção da bomba e o tubo de alta pressão, foi substituido o tubo de alta para verificação porém continuou o vazamento, foi substituido a Bomba Injetora e validado em testes e não apresentou mais vazamentos. Realizado teste de trinca(LP) na sede da Bomba Injetora, apresentou indicios de trinca na regiao da sede.(fotos em anexo)"/>
    <s v="Sem vazamentos."/>
    <n v="1"/>
    <n v="1"/>
    <m/>
    <s v="AC44i"/>
    <n v="2512"/>
    <x v="1"/>
    <s v="Contagem Reman On-site"/>
    <s v="flavio.soares@Wabtec.com"/>
    <s v="Fornecedor"/>
  </r>
  <r>
    <s v="NCMR_20250904_204033_17FE187A8"/>
    <s v="NCMR-2025-101271"/>
    <s v="Emitido"/>
    <s v="murilo.rezende@wabtec.com"/>
    <s v="GA1"/>
    <x v="35"/>
    <d v="2025-09-04T03:00:00"/>
    <s v="17FE187A8"/>
    <s v="FE25010823M"/>
    <s v="CARD"/>
    <m/>
    <m/>
    <s v="Durante a inspeção de estoque, foi detectado um amassado nos pinos do componente que o deixa inutilizável."/>
    <s v="O estado correto dos pinos do componente, não amassados."/>
    <n v="1"/>
    <n v="1"/>
    <m/>
    <s v="N/A"/>
    <n v="0"/>
    <x v="0"/>
    <s v="SANMINA CORP."/>
    <s v="luciano.pereira@wabtec.com, _x000d__x000a_thiago.santos@wabtec.com"/>
    <s v="Fornecedor"/>
  </r>
  <r>
    <s v="NCMR_20250904_202003_41A242974P1"/>
    <s v="NCMR-2025-101280"/>
    <s v="Emitido"/>
    <s v="murilo.rezende@wabtec.com"/>
    <s v="GA1"/>
    <x v="36"/>
    <d v="2025-09-04T03:00:00"/>
    <s v="41A242974P1"/>
    <s v="N/A"/>
    <s v="Latch, Spring  1 latch and 1 pin"/>
    <m/>
    <m/>
    <s v="Material tem peças faltantes, no caso um pino."/>
    <s v="Falta um pino para o material estar completo."/>
    <n v="1"/>
    <n v="1"/>
    <m/>
    <s v="N/A"/>
    <n v="0"/>
    <x v="0"/>
    <s v="Southco, Inc."/>
    <s v="luciano.pereira@wabtec.com, _x000d__x000a_thiago.santos@wabtec.com"/>
    <s v="Fornecedor"/>
  </r>
  <r>
    <s v="NCMR_20250904_104919_41A212869ADP2"/>
    <s v="NCMR-2025-100770"/>
    <s v="Emitido"/>
    <s v="lucas.rocha@wabtec.com"/>
    <s v="GA1"/>
    <x v="37"/>
    <d v="2025-09-04T03:00:00"/>
    <s v="41A212869ADP2"/>
    <s v="N/A"/>
    <s v="MAG VALVE 3WAY PILOT"/>
    <m/>
    <m/>
    <s v="Cabos rompidos. Quando a embalagem foi aberta, foi identificado os cabos já rompidos. A embalagem também apresentava marcas e avarias."/>
    <s v="cabos intactos"/>
    <n v="1"/>
    <n v="1"/>
    <m/>
    <s v="ES44ACi"/>
    <n v="2554"/>
    <x v="0"/>
    <s v="Intek Systems"/>
    <s v="luciano.pereira@wabtec.com, _x000d__x000a_thiago.santos@wabtec.com"/>
    <s v="Fornecedor"/>
  </r>
  <r>
    <s v="NCMR_20250827_220031_132X1827"/>
    <s v="NCMR-2025-098303"/>
    <s v="Emitido"/>
    <s v="murilo.rezende@wabtec.com"/>
    <s v="GA1"/>
    <x v="38"/>
    <d v="2025-08-27T03:00:00"/>
    <s v="132X1827"/>
    <s v="N/A"/>
    <s v="FUEL FILTER HSG"/>
    <m/>
    <m/>
    <s v="Foi detectado um amassado no local onde é aplicado uma tampa, o amassado impossibilida tal aplicação."/>
    <s v="É esperado que toda a circunferencia da peça esteja sem nenhum amassado para a tampa poder encaixar sem problemas._x000a_"/>
    <n v="1"/>
    <n v="1"/>
    <m/>
    <s v="N/A"/>
    <n v="0"/>
    <x v="0"/>
    <s v="GRV-Grove City Manufacturing"/>
    <s v="luciano.pereira@wabtec.com, _x000d__x000a_thiago.santos@wabtec.com"/>
    <s v="Fornecedor"/>
  </r>
  <r>
    <s v="NCMR_20250827_173741_5GDY130A1"/>
    <s v="NCMR-2025-098300"/>
    <s v="Emitido"/>
    <s v="john.silva@wabtec.com"/>
    <s v="GA2"/>
    <x v="39"/>
    <d v="2025-08-25T03:00:00"/>
    <s v="5GDY130A1"/>
    <s v="1167150-1"/>
    <s v="FAN A2A 26IN"/>
    <m/>
    <m/>
    <s v="Ventilador do AIR TO AIR com terminal fora do padrão para locomotiva._x000a__x000a_NCMR INFORMATIVO"/>
    <s v="Terminal olhal para aplicação no parafuso do isolador para  3/8&quot; "/>
    <n v="1"/>
    <n v="1"/>
    <m/>
    <s v="ES43BBi"/>
    <n v="650"/>
    <x v="0"/>
    <s v="Buffalo Forge, S.A. de C.V."/>
    <s v="luciano.pereira@wabtec.com, _x000d__x000a_thiago.santos@wabtec.com"/>
    <s v="Fornecedor"/>
  </r>
  <r>
    <s v="NCMR_20250827_172431_84E904482ABG1RBZ"/>
    <s v="NCMR-2025-098289"/>
    <s v="Emitido"/>
    <s v="john.silva@wabtec.com"/>
    <s v="GA2"/>
    <x v="40"/>
    <d v="2025-08-25T03:00:00"/>
    <s v="84E904482ABG1RBZ"/>
    <s v="GACW25010001"/>
    <s v="AIR COMPRESSOR REPAIRED"/>
    <m/>
    <m/>
    <s v="Visor de óleo do compressor pintado durante revisão do componente. O visor tem o PN 3X10432 e número de série GACW25010001. O compressor tem o PN 84E904482ABG1RBZ e número de série "/>
    <s v="Visor visível sem tinta no vidro."/>
    <n v="1"/>
    <n v="1"/>
    <m/>
    <s v="ES43BBi"/>
    <n v="650"/>
    <x v="5"/>
    <s v="Wabtec Corporation"/>
    <s v="luciano.pereira@wabtec.com, _x000d__x000a_thiago.santos@wabtec.com"/>
    <s v="Fornecedor"/>
  </r>
  <r>
    <s v="NCMR_20250825_091837_N22P35152B13"/>
    <s v="NCMR-2025-096504"/>
    <s v="Emitido"/>
    <s v="linaldo.ramos@wabtec.com"/>
    <s v="GA1"/>
    <x v="41"/>
    <d v="2025-08-23T03:00:00"/>
    <s v="N22P35152B13"/>
    <s v="N/A"/>
    <s v="Bolt Hex Hd"/>
    <m/>
    <m/>
    <s v="PN trocado, parafuso recebido maior do que as especificações do PN."/>
    <s v="Material físico conforme as especificações técnicas do PN."/>
    <n v="58"/>
    <n v="1"/>
    <m/>
    <s v="N/A"/>
    <n v="0"/>
    <x v="0"/>
    <s v="ELK-Hanover Park Distribution(ELK)"/>
    <s v="luciano.pereira@wabtec.com, _x000d__x000a_thiago.santos@wabtec.com"/>
    <s v="Fornecedor"/>
  </r>
  <r>
    <s v="NCMR_20250824_104300_41A314692AMP22RBZ"/>
    <m/>
    <s v="Emitido"/>
    <s v="amanda.doria@wabtec.com"/>
    <s v="GA1"/>
    <x v="42"/>
    <d v="2025-08-24T00:00:00"/>
    <s v="41A314692AMP22RBZ"/>
    <s v="G0232K17"/>
    <s v="REPAIRED AIR CONDITIONER"/>
    <m/>
    <m/>
    <s v="Ar condicionado recém instalado funciona por aproximadamente 3 minutos, depois corta refrigeração e ventilação. Após a troca do ar condicionado, foram realizados testes e verificado que o ar condicionado funciona normalmente por aproximadamente 3 minutos, após para de operar cortando a refrigeração e ventilação. Verificado circuito elétrico e está ok."/>
    <s v="Ar condicionado deve funcionar continuamente sem problemas."/>
    <n v="1"/>
    <n v="1"/>
    <m/>
    <s v="AC44i"/>
    <n v="9864"/>
    <x v="1"/>
    <s v="Contagem Reman On-site"/>
    <s v="flavio.soares@Wabtec.com"/>
    <s v="Fornecedor"/>
  </r>
  <r>
    <s v="NCMR_20250823_051935_41A296352CMP34RBZ"/>
    <s v="NCMR-2025-096480"/>
    <s v="Emitido"/>
    <s v="derick.figueiredo@wabtec.com"/>
    <s v="GA1"/>
    <x v="43"/>
    <d v="2025-08-22T03:00:00"/>
    <s v="41A296352CMP34RBZ"/>
    <s v="12-02-J0-00273"/>
    <s v="MODULO REPARADO MSA"/>
    <m/>
    <m/>
    <s v="Loco atuando falha de freio 076._x000a_"/>
    <s v="Esperando atuando do sistema de freio sem presença de mensagens de falha e/ou restrições."/>
    <n v="1"/>
    <n v="1"/>
    <m/>
    <s v="DASH9"/>
    <n v="9041"/>
    <x v="1"/>
    <s v="Contagem Reman On-site"/>
    <s v="flavio.soares@Wabtec.com"/>
    <s v="Fornecedor"/>
  </r>
  <r>
    <s v="NCMR_20250821_211045_41A315082P5"/>
    <s v="NCMR-2025-096476"/>
    <s v="Emitido"/>
    <s v="mayara.dossantos@wabtec.com"/>
    <s v="GA1"/>
    <x v="44"/>
    <d v="2025-08-21T03:00:00"/>
    <s v="41A315082P5"/>
    <s v="N/A"/>
    <s v="Tubing Plastic, 0,5in Flex Brake Tube,ft"/>
    <m/>
    <m/>
    <s v="Material com diferença nas medidas. Medidas encontrada - 3/8 "/>
    <s v="Medidas corretas - 1/2_x000a_Tubing Plastic, 1/2in Flex Brake Tube,ft"/>
    <n v="6"/>
    <n v="1"/>
    <m/>
    <s v="N/A"/>
    <n v="0"/>
    <x v="0"/>
    <s v="LGG Industrial, Inc."/>
    <s v="luciano.pereira@wabtec.com, _x000d__x000a_thiago.santos@wabtec.com"/>
    <s v="Fornecedor"/>
  </r>
  <r>
    <s v="NCMR_20250821_192411_41B542608BVP2"/>
    <m/>
    <s v="Emitido"/>
    <s v="jean.vilarosa@wabtec.com"/>
    <s v="GA2"/>
    <x v="45"/>
    <d v="2025-08-18T03:00:00"/>
    <s v="41B542608BVP2"/>
    <s v="N/A"/>
    <m/>
    <m/>
    <m/>
    <s v="Material recebido na data 18/08, o mesmo veio avariado uma das pontas está quebrada."/>
    <s v="Material sem avaria."/>
    <n v="1"/>
    <n v="1"/>
    <m/>
    <s v="N/A"/>
    <n v="0"/>
    <x v="4"/>
    <m/>
    <m/>
    <s v=""/>
  </r>
  <r>
    <s v="NCMR_20250821_192138_156B6212CRP109G"/>
    <m/>
    <s v="Emitido"/>
    <s v="jean.vilarosa@wabtec.com"/>
    <s v="GA2"/>
    <x v="46"/>
    <d v="2025-08-18T03:00:00"/>
    <s v="156B6212CRP109G"/>
    <s v="N/A"/>
    <m/>
    <m/>
    <m/>
    <s v="Material recebido no dia 18/08, PN da etiqueta não condizente com  PN que veio fisico, fisico veio o PN:156B620CGP179G"/>
    <s v="PN fisico condizente com a etiqueta o certo seria PN:156B6212CRP109G"/>
    <n v="1"/>
    <n v="1"/>
    <m/>
    <s v="N/A"/>
    <n v="0"/>
    <x v="4"/>
    <m/>
    <m/>
    <s v=""/>
  </r>
  <r>
    <s v="NCMR_20250821_134628_n22p29100b13"/>
    <m/>
    <s v="Emitido"/>
    <s v="gabriel.perez@wabtec.com"/>
    <s v="GA1"/>
    <x v="47"/>
    <d v="2025-08-21T03:00:00"/>
    <s v="N22P29100B13"/>
    <s v="N/A"/>
    <s v="Bolt, Hex .50-13 X 6.25 Lg"/>
    <m/>
    <m/>
    <s v="Pela segunda vez, parafuso veio com medidas inconformes com a especificação técnica. Sendo maior do que o especificado. "/>
    <s v="O estado correto é em que as medidas descritas no produto sejam equivalentes as medidas reais do produto. a seguir foto do parafuso correto retirado do truck em funcionamento, e ao lado parafuso novo recebido pelo AX."/>
    <n v="12"/>
    <n v="1"/>
    <m/>
    <s v="DASH9"/>
    <n v="0"/>
    <x v="0"/>
    <s v="GS Operating, LLC"/>
    <s v="miguel.ramos@wabtec.com"/>
    <s v="Fornecedor"/>
  </r>
  <r>
    <s v="NCMR_20250819_170303_4X1355RBZ"/>
    <m/>
    <s v="Emitido"/>
    <s v="welton.ferreira@wabtec.com"/>
    <s v="GA1"/>
    <x v="48"/>
    <d v="2025-08-19T03:00:00"/>
    <s v="4X1355RBZ"/>
    <s v="16-02B0-00042"/>
    <s v="NYAB EPCU MODULE DBTV REPAIRED"/>
    <m/>
    <m/>
    <s v="Material entregue na área não corresponde ao modelo aplicado na frota AC44/ES44/D9, material específico de aplicação ES43BBi (PN - 84A243126P1) não possui reservatório na parte superior._x000a__x000a_Verificar estoque!!!"/>
    <s v="Porção DBTV PN-4X1355RBZ possui reservatório na parte superior."/>
    <n v="1"/>
    <n v="1"/>
    <m/>
    <s v="AC44i"/>
    <n v="613"/>
    <x v="1"/>
    <s v="Contagem Reman On-site"/>
    <s v="miguel.ramos@wabtec.com"/>
    <s v="Fornecedor"/>
  </r>
  <r>
    <s v="NCMR_20250819_164319_5GMG210A3"/>
    <m/>
    <s v="Emitido"/>
    <s v="messias.cota@wabtec.com"/>
    <s v="GA2"/>
    <x v="49"/>
    <d v="2025-08-19T03:00:00"/>
    <s v="5GMG210A3"/>
    <s v="WE15110406"/>
    <s v="ALTERNATOR LOCO GMG"/>
    <m/>
    <m/>
    <s v="Alternador com bobina do rotor amassada. "/>
    <s v="Bobinas sem desvios"/>
    <n v="1"/>
    <n v="1"/>
    <m/>
    <s v="ES43BBi"/>
    <n v="650"/>
    <x v="4"/>
    <m/>
    <s v="jorge.silva@wabtec.com"/>
    <s v="Fábrica"/>
  </r>
  <r>
    <s v="NCMR_20250817_043812_17KC108RBZ"/>
    <m/>
    <s v="Emitido"/>
    <s v="vitor.honorato@wabtec.com"/>
    <s v="GA1"/>
    <x v="50"/>
    <d v="2025-08-17T03:00:00"/>
    <s v="17KC108RBZ"/>
    <s v="KC15060005"/>
    <s v="CONTROLLER MASTER REPAIRED"/>
    <m/>
    <m/>
    <s v="Em inspecao visual antes de instalar novo controlador mestre foi identificado que a alavanca de marcha estava sendo movimentada mesmo sem estar com a reversora. Video e foto em anexo."/>
    <s v="A alavanca de marcha nao pode ser movida sem que a reversora esteja conectada no controlador. "/>
    <n v="1"/>
    <n v="1"/>
    <m/>
    <s v="AC44i"/>
    <n v="9857"/>
    <x v="1"/>
    <s v="Contagem Reman On-site"/>
    <s v="vinicius.borgatti@wabtec.com"/>
    <s v="Fábrica"/>
  </r>
  <r>
    <s v="NCMR_20250816_085945_5GE752AH30RBZ"/>
    <m/>
    <s v="Emitido"/>
    <s v="fernando.sena@wabtec.com"/>
    <s v="GA1"/>
    <x v="51"/>
    <d v="2025-08-16T03:00:00"/>
    <s v="5GE752AH30RBZ"/>
    <s v="EE99092207"/>
    <s v="MOTOR DE TRACAO 5GE752RBZ REPARADO MSA"/>
    <m/>
    <m/>
    <s v="Motor de tração entregue ao Back Shop e ao remover os parafusos que travam o rotor foi percebido que um dos parafusos estava com a ponta interna quebrada internamente "/>
    <s v="Motor de tração isento de defeitos"/>
    <n v="1"/>
    <n v="1"/>
    <m/>
    <s v="DASH9"/>
    <n v="9041"/>
    <x v="1"/>
    <s v="Contagem Reman On-site"/>
    <s v="jorge.silva@wabtec.com"/>
    <s v="Fábrica"/>
  </r>
  <r>
    <s v="NCMR_20250814_114956_5GMG192RBZ"/>
    <m/>
    <s v="Emitido"/>
    <s v="daniel.alves2@wabtec.com"/>
    <s v="GA1"/>
    <x v="52"/>
    <d v="2025-08-14T03:00:00"/>
    <s v="5GMG192RBZ"/>
    <s v="N/A"/>
    <s v="ALTERNATOR AC 44 REPARADO"/>
    <m/>
    <m/>
    <s v="Palete de alternador em padrão no qual não oferece segurança nos transporte, presos com ganchos no qual ao observar em detalhes não estão totalmente rosqueados, gerando riscos nos içamentos e deslocamentos. "/>
    <s v="A forma correta é a utilização de pallet de modelo correto com os calços lateral onde o material é fixado. "/>
    <n v="3"/>
    <n v="1"/>
    <m/>
    <s v="N/A"/>
    <n v="0"/>
    <x v="1"/>
    <s v="Contagem Reman On-site"/>
    <m/>
    <s v=""/>
  </r>
  <r>
    <s v="NCMR_20250814_112119_84D745802G1"/>
    <m/>
    <s v="Emitido"/>
    <s v="daniel.alves2@wabtec.com"/>
    <s v="GA1"/>
    <x v="53"/>
    <d v="2025-08-14T03:00:00"/>
    <s v="84D745802G1"/>
    <s v="N/A"/>
    <s v="PALETE PARA MOTOR DE TRACAO METALICO"/>
    <m/>
    <m/>
    <s v="Recebemos motores em paletes onde os mesmo não vem encaixados conforme o padrão. Paletes desenvolvidos pela fábrica mas não vêm atendendo os padrão de segurança necessário. "/>
    <s v="O correto é o material estar completamente encaixado no palete, tento maior fixação e segurança nos transporte. "/>
    <n v="4"/>
    <n v="1"/>
    <m/>
    <s v="N/A"/>
    <n v="0"/>
    <x v="1"/>
    <s v="DPI Desenvolvimento De Processos Industriais Ltda Epp"/>
    <m/>
    <s v=""/>
  </r>
  <r>
    <s v="NCMR_20250812_141656_17FL500RBZ"/>
    <m/>
    <s v="Emitido"/>
    <s v="fernando.sena@wabtec.com"/>
    <s v="GA1"/>
    <x v="54"/>
    <d v="2025-08-12T03:00:00"/>
    <s v="17FL500RBZ"/>
    <s v="FL09124045"/>
    <s v="PANEL REPAIRED MSA"/>
    <m/>
    <m/>
    <s v="Painel recem instalado na loco 9828 por falha de fonte LPS veio apresentar novas falhas ( Falha de DB2A+) após a instalação: "/>
    <s v="Painel CIO sem falhas"/>
    <n v="1"/>
    <n v="1"/>
    <m/>
    <s v="AC44i"/>
    <n v="9828"/>
    <x v="1"/>
    <s v="Contagem Reman On-site"/>
    <s v="josimar.miranda@wabtec.com"/>
    <s v="Fábrica"/>
  </r>
  <r>
    <s v="NCMR_20250812_123516_41A219499ABP374"/>
    <m/>
    <s v="Emitido"/>
    <s v="mayara.dossantos@wabtec.com"/>
    <s v="GA2"/>
    <x v="55"/>
    <d v="2025-08-12T03:00:00"/>
    <s v="41A219499ABP374"/>
    <s v="N/A"/>
    <s v="O-RING"/>
    <m/>
    <m/>
    <s v="Material recebido não esta de acordo com PTN - Recebido Parafusos"/>
    <s v="Material correto seria Oring"/>
    <n v="5"/>
    <n v="1"/>
    <m/>
    <s v="N/A"/>
    <n v="0"/>
    <x v="0"/>
    <s v="Sealing Devices Inc."/>
    <s v="luciano.pereira@wabtec.com, _x000d__x000a_thiago.santos@wabtec.com"/>
    <s v="Fornecedor"/>
  </r>
  <r>
    <s v="NCMR_20250811_155829_84D705020ABG4"/>
    <s v="NCMR-2025-090229"/>
    <s v="Emitido"/>
    <s v="vitor.honorato@wabtec.com"/>
    <s v="GA1"/>
    <x v="56"/>
    <d v="2025-08-08T03:00:00"/>
    <s v="84D705020ABG4"/>
    <s v="N/A"/>
    <s v="Cover Assembly , Lube Oil Filter"/>
    <m/>
    <m/>
    <s v="Durante uma troca de tampa do alojamento dos filtros de óleo lubrificante que chegou trincada, a nova tampa não deu alinhamento correto e não permitiu que fosse possível fechar o alojamento._x000a_"/>
    <s v="A tampa do alojamento deveria se alinhar e permitir o fechamento. "/>
    <n v="1"/>
    <n v="1"/>
    <m/>
    <s v="AC44i"/>
    <n v="9840"/>
    <x v="0"/>
    <s v="EFM-EFM-Erie Fabrication Manufacturing"/>
    <s v="miguel.ramos@wabtec.com"/>
    <s v="Fornecedor"/>
  </r>
  <r>
    <s v="NCMR_20250811_085721_41B544353G8"/>
    <m/>
    <s v="Emitido"/>
    <s v="murilo.rezende@wabtec.com"/>
    <s v="GA1"/>
    <x v="57"/>
    <d v="2025-08-08T03:00:00"/>
    <s v="41B544353G8"/>
    <s v="N/A"/>
    <s v="Hose"/>
    <m/>
    <m/>
    <s v="PN trocado."/>
    <s v="Esperava-se o material condizente com o PN."/>
    <n v="2"/>
    <n v="1"/>
    <m/>
    <s v="N/A"/>
    <n v="0"/>
    <x v="0"/>
    <s v="Power Drives, Inc."/>
    <s v="luciano.pereira@wabtec.com, _x000d__x000a_thiago.santos@wabtec.com"/>
    <s v="Fornecedor"/>
  </r>
  <r>
    <s v="NCMR_20250808_084403_5GEB13B10RBZ"/>
    <m/>
    <s v="Emitido"/>
    <s v="fernando.sena@wabtec.com"/>
    <s v="GA1"/>
    <x v="58"/>
    <d v="2025-08-08T03:00:00"/>
    <s v="5GEB13B10RBZ"/>
    <s v="CTH150343M"/>
    <s v="MOTOR DE TRACAO REPARADO"/>
    <m/>
    <m/>
    <s v="Motor de tração não foi utilizado pelo Back Shop devido estar com bastante sujidade e com juntas reutilizadas, além de parafusos do alojamento do rolamento sem a pintura na cabeça em amarelo conforme acordado._x000a_"/>
    <s v="Motor de tração com juntas novas e áreas de aplicação limpas"/>
    <n v="1"/>
    <n v="2"/>
    <m/>
    <s v="AC44i"/>
    <n v="8298"/>
    <x v="1"/>
    <s v="Contagem Reman On-site"/>
    <s v="jorge.silva@wabtec.com"/>
    <s v="Fábrica"/>
  </r>
  <r>
    <s v="NCMR_20250731_125911_84B103616G1"/>
    <m/>
    <s v="Emitido"/>
    <s v="gabriel.perez@wabtec.com"/>
    <s v="GA1"/>
    <x v="59"/>
    <d v="2025-07-31T03:00:00"/>
    <s v="84B103616G1"/>
    <s v="N/A"/>
    <s v="Brake Lever"/>
    <m/>
    <m/>
    <s v="Orifício extra inconforme com especificação técnica do material."/>
    <s v="Sem orifício extra."/>
    <n v="11"/>
    <n v="1"/>
    <m/>
    <s v="N/A"/>
    <n v="0"/>
    <x v="0"/>
    <s v="Smitchko Tool and Die, Inc."/>
    <s v="gabriel.oliveira@wabtec.com"/>
    <s v="Fornecedor"/>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C3506D3-A3CB-4039-9464-C980176489A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a">
  <location ref="A1:B6" firstHeaderRow="1" firstDataRow="1" firstDataCol="1"/>
  <pivotFields count="25">
    <pivotField dataField="1" showAll="0"/>
    <pivotField showAll="0"/>
    <pivotField showAll="0"/>
    <pivotField showAll="0"/>
    <pivotField showAll="0"/>
    <pivotField axis="axisRow" numFmtId="164" showAll="0">
      <items count="61">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8">
        <item x="0"/>
        <item m="1" x="6"/>
        <item x="2"/>
        <item x="5"/>
        <item x="3"/>
        <item x="1"/>
        <item x="4"/>
        <item t="default"/>
      </items>
    </pivotField>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24"/>
    <field x="23"/>
    <field x="5"/>
  </rowFields>
  <rowItems count="5">
    <i>
      <x v="7"/>
    </i>
    <i>
      <x v="8"/>
    </i>
    <i>
      <x v="9"/>
    </i>
    <i>
      <x v="10"/>
    </i>
    <i t="grand">
      <x/>
    </i>
  </rowItems>
  <colItems count="1">
    <i/>
  </colItems>
  <dataFields count="1">
    <dataField name="NCMR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88F718E-DDAF-4068-84E7-FE1ACF2DA03A}" name="ncmr" displayName="ncmr" ref="A7:X8" totalsRowShown="0" headerRowDxfId="77" dataDxfId="76">
  <autoFilter ref="A7:X8" xr:uid="{101F2DB5-8787-48B6-B592-5DB5643F7D7B}"/>
  <sortState xmlns:xlrd2="http://schemas.microsoft.com/office/spreadsheetml/2017/richdata2" ref="A8:X8">
    <sortCondition descending="1" ref="F7:F8"/>
  </sortState>
  <tableColumns count="24">
    <tableColumn id="5" xr3:uid="{ECE05FA7-0003-4647-8826-905E97F6D56C}" name="PowerAppsId" dataDxfId="75"/>
    <tableColumn id="21" xr3:uid="{D43A5CDD-0D21-4733-8C34-E48F18BA765D}" name="cod_reliance" dataDxfId="74"/>
    <tableColumn id="18" xr3:uid="{4BBDB8D3-D6F0-447C-88A3-4E4096DB58F2}" name="status" dataDxfId="73"/>
    <tableColumn id="2" xr3:uid="{C8E0F4D3-B900-4338-9320-4E8F1B32449A}" name="email_responsavel" dataDxfId="72"/>
    <tableColumn id="4" xr3:uid="{47AF9FFC-601B-49E0-AF1A-B534C4E53BED}" name="local" dataDxfId="71"/>
    <tableColumn id="15" xr3:uid="{C793F042-6B61-4632-BE69-378B334AD31D}" name="data_requisicao" dataDxfId="70"/>
    <tableColumn id="13" xr3:uid="{04C2700C-4332-4B28-BDCA-91D531579DBF}" name="data_problema" dataDxfId="69"/>
    <tableColumn id="1" xr3:uid="{B11CEF20-90F3-4272-9F85-121B2148B853}" name="part_number" dataDxfId="68"/>
    <tableColumn id="3" xr3:uid="{8A2274E5-435E-4B2B-A3D4-C56123339A48}" name="serial_number" dataDxfId="67"/>
    <tableColumn id="14" xr3:uid="{BFF5180A-7A72-475F-8802-0241B5967009}" name="descricao_part" dataDxfId="66"/>
    <tableColumn id="22" xr3:uid="{B3569CC5-A18E-4E9D-B060-BDC285406D55}" name="Informativa" dataDxfId="65"/>
    <tableColumn id="24" xr3:uid="{F4C5E80A-0174-46CE-8E23-10301580AB1F}" name="informativa_retrabalho" dataDxfId="64"/>
    <tableColumn id="7" xr3:uid="{D7A64475-80F4-44C2-8DEE-A7F4EA4F6244}" name="errado" dataDxfId="63"/>
    <tableColumn id="6" xr3:uid="{B726F8AB-2E2D-406E-BD8A-06B561419783}" name="correto" dataDxfId="62"/>
    <tableColumn id="20" xr3:uid="{FEA1DCE7-2F2C-470A-B01B-AA1BAF7D3B21}" name="qtd_itens" dataDxfId="61"/>
    <tableColumn id="10" xr3:uid="{8217FAC5-E33D-4D25-8C91-C55FA00B6D65}" name="qtd_erros" dataDxfId="60"/>
    <tableColumn id="16" xr3:uid="{0674D48E-C7C9-4616-9FAA-829CE4E25960}" name="prioridade" dataDxfId="59"/>
    <tableColumn id="11" xr3:uid="{13147B03-CF65-46B3-90E8-5AD52D2BE845}" name="modelo_locomotiva" dataDxfId="58"/>
    <tableColumn id="12" xr3:uid="{C80A355C-FE6A-4BD6-8281-879C5180BEBB}" name="numero_locomotiva" dataDxfId="57"/>
    <tableColumn id="8" xr3:uid="{CBC8179D-01F9-4ED5-8386-208DF61860D9}" name="fornecedor" dataDxfId="56"/>
    <tableColumn id="9" xr3:uid="{65BA9D5C-6B4F-42F0-A6AB-91C3FAD506C9}" name="fabricante" dataDxfId="55"/>
    <tableColumn id="17" xr3:uid="{8AE0B74B-92B5-404C-9CE4-47EE266BD1D4}" name="aos_cuidados" dataDxfId="54"/>
    <tableColumn id="19" xr3:uid="{8933390E-ADCB-4976-A352-97B8BBD6B43E}" name="origem_do_item" dataDxfId="53">
      <calculatedColumnFormula>IFERROR(IFERROR(VLOOKUP(ncmr[[#This Row],[aos_cuidados]],origem[],2,0),VLOOKUP(LEFT(V8,FIND(",",V8)-1),origem[],2,0)),"")</calculatedColumnFormula>
    </tableColumn>
    <tableColumn id="23" xr3:uid="{EA16AB21-CE42-4813-80B9-924AF3B5ED36}" name="Tipo" dataDxfId="52"/>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4781C52-0B69-4CBD-86D7-793B5CC8A16A}" name="RCs" displayName="RCs" ref="A1:P6" totalsRowShown="0" headerRowDxfId="21" dataDxfId="20">
  <autoFilter ref="A1:P6" xr:uid="{04781C52-0B69-4CBD-86D7-793B5CC8A16A}"/>
  <tableColumns count="16">
    <tableColumn id="16" xr3:uid="{7EAE4AB2-02E5-4CFC-84B3-6E75309C6CE9}" name="PowerAppsId" dataDxfId="19"/>
    <tableColumn id="14" xr3:uid="{150A39C6-8E9B-4880-B6F7-808A678FBA0D}" name="status" dataDxfId="18"/>
    <tableColumn id="1" xr3:uid="{49979870-67AE-4D5C-B375-198941548999}" name="email_responsavel" dataDxfId="17"/>
    <tableColumn id="2" xr3:uid="{9F21FAAC-4892-46A1-9DB9-65E9E9FCBF47}" name="local" dataDxfId="16"/>
    <tableColumn id="15" xr3:uid="{8BF7CD95-3DA9-492B-A805-F97E0F20AEE6}" name="data_requisicao" dataDxfId="15"/>
    <tableColumn id="3" xr3:uid="{796F64D8-6282-4C62-B426-636D66A8B73D}" name="data_instalacao" dataDxfId="14"/>
    <tableColumn id="4" xr3:uid="{0B09E414-9586-4AF9-8AEC-64C72A630B63}" name="data_remocao" dataDxfId="13"/>
    <tableColumn id="5" xr3:uid="{AA9B6082-AA21-40BF-922D-8925418E255E}" name="modelo_locomotiva" dataDxfId="12"/>
    <tableColumn id="6" xr3:uid="{50816A76-4A08-49A8-87C8-953E424FB014}" name="numero_locomotiva" dataDxfId="11"/>
    <tableColumn id="7" xr3:uid="{D6A469A4-85D4-403C-B05A-6FC2AF6E65E5}" name="MWH" dataDxfId="10"/>
    <tableColumn id="8" xr3:uid="{0E2B65EA-6C1E-4F73-8A1F-6C7C846E0605}" name="part_number" dataDxfId="9"/>
    <tableColumn id="9" xr3:uid="{921EDFED-83A2-49AE-8534-C01969B42012}" name="serial_number" dataDxfId="8"/>
    <tableColumn id="10" xr3:uid="{0F4A5CFA-7164-45C9-A4D6-D96B6F76D140}" name="avaria" dataDxfId="7"/>
    <tableColumn id="11" xr3:uid="{5A1FFDC9-CA35-49A8-A513-9F59BD964970}" name="tipo_servico" dataDxfId="6"/>
    <tableColumn id="12" xr3:uid="{D2D41647-E18A-4643-9B4E-DABED8AA136E}" name="prioridade" dataDxfId="5"/>
    <tableColumn id="13" xr3:uid="{A16556DD-B44F-48B2-8CB6-AACBE785364F}" name="OVP" dataDxfId="4"/>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EAC33A-8FD1-4B38-8CBF-4D347137F9F8}" name="origem" displayName="origem" ref="A1:B13" totalsRowShown="0" headerRowDxfId="3" tableBorderDxfId="2">
  <autoFilter ref="A1:B13" xr:uid="{4EEAC33A-8FD1-4B38-8CBF-4D347137F9F8}"/>
  <tableColumns count="2">
    <tableColumn id="1" xr3:uid="{C1975273-BF9B-42BF-82CE-2B52D5A24906}" name="Email" dataDxfId="1" dataCellStyle="Hyperlink"/>
    <tableColumn id="2" xr3:uid="{E9DB37A2-E406-4172-88A4-C495DD1646D4}" name="Origem" dataDxfId="0"/>
  </tableColumns>
  <tableStyleInfo name="TableStyleLight1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B34FFBC-FD11-4632-AA3B-4F46E725CCFE}" name="locais" displayName="locais" ref="D1:E3" totalsRowShown="0">
  <autoFilter ref="D1:E3" xr:uid="{8B34FFBC-FD11-4632-AA3B-4F46E725CCFE}"/>
  <tableColumns count="2">
    <tableColumn id="1" xr3:uid="{B8964381-7657-45E6-962D-C1A7CF81E69E}" name="Local"/>
    <tableColumn id="2" xr3:uid="{B3E8D0C1-41AD-4676-94EB-07EAFABC35A8}" name="Grupo email"/>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5-08-14T16:31:05.46" personId="{81CD8ACE-8031-483A-9CDD-A4A025486D27}" id="{6834123A-A769-4D9D-829F-8FD97DD05635}">
    <text>O gerador de diagrama Four-Block está num script Python. O Excel acessa o script através de um Macro acessível através da aba Developer &gt; Visual Basic &gt; Modules &gt; Module1</text>
  </threadedComment>
  <threadedComment ref="F7" dT="2025-08-13T16:38:50.27" personId="{81CD8ACE-8031-483A-9CDD-A4A025486D27}" id="{132AE1CD-4792-483C-A689-00F99E6FA661}">
    <text>As datas e horas estão em UTC. Isso é dificil de mudar, mas tambem não é útil de mudar. Desta forma a comunicação com outras aplicações fica facilitada.</text>
  </threadedComment>
  <threadedComment ref="V7" dT="2025-08-13T16:41:50.87" personId="{81CD8ACE-8031-483A-9CDD-A4A025486D27}" id="{BD844094-9B7D-4D55-BA8E-3E5198EC4AF6}">
    <text xml:space="preserve">Este campo permite múltipla seleção. A múltipla seleção foi implementada em codigo VBA (aba Developer &gt; Visual Basic &gt; Sheet1(nmcr) &gt; View Code). O código foi copiado do link a seguir: How to create multi-select drop down list in Excel </text>
    <extLst>
      <x:ext xmlns:xltc2="http://schemas.microsoft.com/office/spreadsheetml/2020/threadedcomments2" uri="{F7C98A9C-CBB3-438F-8F68-D28B6AF4A901}">
        <xltc2:checksum>4084953284</xltc2:checksum>
        <xltc2:hyperlink startIndex="185" length="50" url="https://www.ablebits.com/office-addins-blog/create-multi-select-dropdown-excel/"/>
      </x:ext>
    </extLs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mailto:exemplo@gmail.com" TargetMode="External"/><Relationship Id="rId1" Type="http://schemas.openxmlformats.org/officeDocument/2006/relationships/hyperlink" Target="mailto:exemplo@gmail.com"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hyperlink" Target="mailto:flavio.soares@Wabtec.com" TargetMode="External"/><Relationship Id="rId13" Type="http://schemas.openxmlformats.org/officeDocument/2006/relationships/hyperlink" Target="mailto:ncmr-ga2-cc@wabtec.com" TargetMode="External"/><Relationship Id="rId3" Type="http://schemas.openxmlformats.org/officeDocument/2006/relationships/hyperlink" Target="mailto:gabriel.oliveira@wabtec.com" TargetMode="External"/><Relationship Id="rId7" Type="http://schemas.openxmlformats.org/officeDocument/2006/relationships/hyperlink" Target="mailto:jorge.silva@wabtec.com" TargetMode="External"/><Relationship Id="rId12" Type="http://schemas.openxmlformats.org/officeDocument/2006/relationships/hyperlink" Target="mailto:ncmr-ga1-cc@wabtec.com" TargetMode="External"/><Relationship Id="rId2" Type="http://schemas.openxmlformats.org/officeDocument/2006/relationships/hyperlink" Target="mailto:lucas.figueiredo@Wabtec.com" TargetMode="External"/><Relationship Id="rId16" Type="http://schemas.openxmlformats.org/officeDocument/2006/relationships/table" Target="../tables/table4.xml"/><Relationship Id="rId1" Type="http://schemas.openxmlformats.org/officeDocument/2006/relationships/hyperlink" Target="mailto:vinicius.borgatti@wabtec.com" TargetMode="External"/><Relationship Id="rId6" Type="http://schemas.openxmlformats.org/officeDocument/2006/relationships/hyperlink" Target="mailto:josimar.miranda@wabtec.com" TargetMode="External"/><Relationship Id="rId11" Type="http://schemas.openxmlformats.org/officeDocument/2006/relationships/hyperlink" Target="mailto:thiago.santos@wabtec.com" TargetMode="External"/><Relationship Id="rId5" Type="http://schemas.openxmlformats.org/officeDocument/2006/relationships/hyperlink" Target="mailto:gabriel.barbosa@wabtec.com" TargetMode="External"/><Relationship Id="rId15" Type="http://schemas.openxmlformats.org/officeDocument/2006/relationships/table" Target="../tables/table3.xml"/><Relationship Id="rId10" Type="http://schemas.openxmlformats.org/officeDocument/2006/relationships/hyperlink" Target="mailto:luciano.pereira@wabtec.com" TargetMode="External"/><Relationship Id="rId4" Type="http://schemas.openxmlformats.org/officeDocument/2006/relationships/hyperlink" Target="mailto:miguel.ramos@wabtec.com" TargetMode="External"/><Relationship Id="rId9" Type="http://schemas.openxmlformats.org/officeDocument/2006/relationships/hyperlink" Target="mailto:douglas.reis@wabtec.com" TargetMode="External"/><Relationship Id="rId14"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141-F5DA-4AE2-B9D2-DBC70C3D4CA7}">
  <sheetPr codeName="Sheet1"/>
  <dimension ref="A1:Z37"/>
  <sheetViews>
    <sheetView tabSelected="1" workbookViewId="0">
      <selection activeCell="A3" sqref="A3"/>
    </sheetView>
  </sheetViews>
  <sheetFormatPr defaultColWidth="9.1796875" defaultRowHeight="14.5" x14ac:dyDescent="0.35"/>
  <cols>
    <col min="1" max="1" width="27.81640625" style="14" customWidth="1"/>
    <col min="2" max="2" width="19" customWidth="1"/>
    <col min="3" max="3" width="11.1796875" customWidth="1"/>
    <col min="4" max="4" width="28.453125" customWidth="1"/>
    <col min="5" max="5" width="6.453125" customWidth="1"/>
    <col min="6" max="6" width="18.81640625" customWidth="1"/>
    <col min="7" max="7" width="16" customWidth="1"/>
    <col min="8" max="8" width="16.7265625" customWidth="1"/>
    <col min="9" max="9" width="18.1796875" customWidth="1"/>
    <col min="10" max="10" width="22" style="3" customWidth="1"/>
    <col min="11" max="11" width="13.54296875" style="3" customWidth="1"/>
    <col min="12" max="12" width="87.7265625" style="3" customWidth="1"/>
    <col min="13" max="13" width="17.26953125" customWidth="1"/>
    <col min="14" max="14" width="15.81640625" style="4" customWidth="1"/>
    <col min="16" max="16" width="10.81640625" customWidth="1"/>
    <col min="17" max="17" width="16.26953125" customWidth="1"/>
    <col min="18" max="18" width="10.54296875" customWidth="1"/>
    <col min="19" max="19" width="10.1796875" customWidth="1"/>
    <col min="20" max="21" width="15.81640625" customWidth="1"/>
    <col min="22" max="22" width="27.81640625" customWidth="1"/>
    <col min="24" max="24" width="25.1796875" style="14" customWidth="1"/>
    <col min="25" max="25" width="27.81640625" customWidth="1"/>
    <col min="26" max="26" width="28.453125" style="14" customWidth="1"/>
    <col min="27" max="27" width="13.26953125" customWidth="1"/>
    <col min="28" max="28" width="11" customWidth="1"/>
    <col min="31" max="31" width="15.1796875" customWidth="1"/>
    <col min="32" max="32" width="14.26953125" customWidth="1"/>
    <col min="33" max="33" width="13.453125" customWidth="1"/>
    <col min="36" max="36" width="17.1796875" customWidth="1"/>
    <col min="37" max="37" width="14.54296875" customWidth="1"/>
    <col min="39" max="39" width="21.453125" customWidth="1"/>
    <col min="40" max="40" width="18.54296875" customWidth="1"/>
    <col min="42" max="42" width="15.54296875" bestFit="1" customWidth="1"/>
  </cols>
  <sheetData>
    <row r="1" spans="1:26" ht="14.15" customHeight="1" x14ac:dyDescent="0.35">
      <c r="A1"/>
      <c r="C1" s="28" t="s">
        <v>0</v>
      </c>
      <c r="D1" s="29"/>
      <c r="E1" s="34"/>
      <c r="F1" s="35"/>
      <c r="G1" s="36"/>
      <c r="H1" s="16"/>
      <c r="I1" s="16"/>
      <c r="J1"/>
      <c r="K1"/>
      <c r="L1"/>
      <c r="N1"/>
      <c r="X1"/>
      <c r="Z1"/>
    </row>
    <row r="2" spans="1:26" x14ac:dyDescent="0.35">
      <c r="A2" s="14" t="s">
        <v>104</v>
      </c>
      <c r="B2" s="16"/>
      <c r="C2" s="30"/>
      <c r="D2" s="31"/>
      <c r="E2" s="37"/>
      <c r="F2" s="38"/>
      <c r="G2" s="39"/>
      <c r="H2" s="16"/>
      <c r="I2" s="16"/>
      <c r="J2"/>
      <c r="K2"/>
      <c r="L2"/>
      <c r="N2"/>
      <c r="X2"/>
      <c r="Z2"/>
    </row>
    <row r="3" spans="1:26" x14ac:dyDescent="0.35">
      <c r="A3" s="19" t="s">
        <v>105</v>
      </c>
      <c r="B3" s="16"/>
      <c r="C3" s="30"/>
      <c r="D3" s="31"/>
      <c r="E3" s="37"/>
      <c r="F3" s="38"/>
      <c r="G3" s="39"/>
      <c r="H3" s="16"/>
      <c r="I3" s="16"/>
      <c r="J3"/>
      <c r="K3"/>
      <c r="L3"/>
      <c r="N3"/>
      <c r="X3"/>
      <c r="Z3"/>
    </row>
    <row r="4" spans="1:26" x14ac:dyDescent="0.35">
      <c r="A4" s="19"/>
      <c r="B4" s="16"/>
      <c r="C4" s="30"/>
      <c r="D4" s="31"/>
      <c r="E4" s="37"/>
      <c r="F4" s="38"/>
      <c r="G4" s="39"/>
      <c r="H4" s="16"/>
      <c r="I4" s="16"/>
      <c r="J4"/>
      <c r="K4"/>
      <c r="L4"/>
      <c r="N4"/>
      <c r="X4"/>
      <c r="Z4"/>
    </row>
    <row r="5" spans="1:26" ht="15" thickBot="1" x14ac:dyDescent="0.4">
      <c r="C5" s="32"/>
      <c r="D5" s="33"/>
      <c r="E5" s="40"/>
      <c r="F5" s="41"/>
      <c r="G5" s="42"/>
      <c r="H5" s="16"/>
      <c r="I5" s="16"/>
      <c r="J5"/>
      <c r="K5"/>
      <c r="L5"/>
      <c r="N5"/>
      <c r="X5"/>
      <c r="Z5"/>
    </row>
    <row r="6" spans="1:26" x14ac:dyDescent="0.35">
      <c r="J6"/>
      <c r="K6"/>
      <c r="L6"/>
      <c r="N6"/>
      <c r="X6"/>
      <c r="Z6"/>
    </row>
    <row r="7" spans="1:26" x14ac:dyDescent="0.35">
      <c r="A7" s="20" t="s">
        <v>1</v>
      </c>
      <c r="B7" s="21" t="s">
        <v>2</v>
      </c>
      <c r="C7" s="22" t="s">
        <v>3</v>
      </c>
      <c r="D7" s="22" t="s">
        <v>4</v>
      </c>
      <c r="E7" s="22" t="s">
        <v>5</v>
      </c>
      <c r="F7" s="22" t="s">
        <v>6</v>
      </c>
      <c r="G7" s="23" t="s">
        <v>7</v>
      </c>
      <c r="H7" s="22" t="s">
        <v>8</v>
      </c>
      <c r="I7" s="22" t="s">
        <v>9</v>
      </c>
      <c r="J7" s="21" t="s">
        <v>10</v>
      </c>
      <c r="K7" s="22" t="s">
        <v>11</v>
      </c>
      <c r="L7" s="22" t="s">
        <v>12</v>
      </c>
      <c r="M7" s="22" t="s">
        <v>13</v>
      </c>
      <c r="N7" s="22" t="s">
        <v>14</v>
      </c>
      <c r="O7" s="22" t="s">
        <v>15</v>
      </c>
      <c r="P7" s="22" t="s">
        <v>16</v>
      </c>
      <c r="Q7" s="22" t="s">
        <v>17</v>
      </c>
      <c r="R7" s="22" t="s">
        <v>18</v>
      </c>
      <c r="S7" s="22" t="s">
        <v>19</v>
      </c>
      <c r="T7" s="21" t="s">
        <v>20</v>
      </c>
      <c r="U7" s="21" t="s">
        <v>21</v>
      </c>
      <c r="V7" s="21" t="s">
        <v>22</v>
      </c>
      <c r="W7" s="21" t="s">
        <v>23</v>
      </c>
      <c r="X7" s="21" t="s">
        <v>24</v>
      </c>
      <c r="Z7"/>
    </row>
    <row r="8" spans="1:26" x14ac:dyDescent="0.35">
      <c r="A8" s="15" t="s">
        <v>29</v>
      </c>
      <c r="B8" s="15" t="s">
        <v>29</v>
      </c>
      <c r="C8" s="5" t="s">
        <v>30</v>
      </c>
      <c r="D8" s="27" t="s">
        <v>31</v>
      </c>
      <c r="E8" s="5"/>
      <c r="F8" s="13">
        <v>45946.448009259257</v>
      </c>
      <c r="G8" s="2">
        <v>45946.125</v>
      </c>
      <c r="H8" s="5" t="s">
        <v>32</v>
      </c>
      <c r="I8" s="5" t="s">
        <v>33</v>
      </c>
      <c r="J8" s="5" t="s">
        <v>34</v>
      </c>
      <c r="K8" s="5"/>
      <c r="L8" s="5"/>
      <c r="M8" s="5" t="s">
        <v>35</v>
      </c>
      <c r="N8" s="5" t="s">
        <v>36</v>
      </c>
      <c r="O8" s="5">
        <v>1</v>
      </c>
      <c r="P8" s="5"/>
      <c r="Q8" s="15" t="s">
        <v>37</v>
      </c>
      <c r="R8" s="5"/>
      <c r="S8" s="5"/>
      <c r="T8" s="5" t="s">
        <v>38</v>
      </c>
      <c r="U8" s="5" t="s">
        <v>39</v>
      </c>
      <c r="V8" s="24"/>
      <c r="W8" s="24"/>
      <c r="X8" s="24"/>
    </row>
    <row r="9" spans="1:26" x14ac:dyDescent="0.35">
      <c r="A9" s="15" t="s">
        <v>29</v>
      </c>
      <c r="B9" s="15" t="s">
        <v>29</v>
      </c>
      <c r="C9" s="5" t="s">
        <v>25</v>
      </c>
      <c r="D9" s="27" t="s">
        <v>31</v>
      </c>
      <c r="E9" s="5"/>
      <c r="F9" s="13">
        <v>45946.448009259257</v>
      </c>
      <c r="G9" s="2">
        <v>45946.125</v>
      </c>
      <c r="H9" s="5" t="s">
        <v>32</v>
      </c>
      <c r="I9" s="5" t="s">
        <v>33</v>
      </c>
      <c r="J9" s="5" t="s">
        <v>34</v>
      </c>
      <c r="K9" s="5"/>
      <c r="L9" s="5"/>
      <c r="M9" s="5" t="s">
        <v>35</v>
      </c>
      <c r="N9" s="5" t="s">
        <v>36</v>
      </c>
      <c r="O9" s="5">
        <v>1</v>
      </c>
      <c r="P9" s="5"/>
      <c r="Q9" s="15" t="s">
        <v>37</v>
      </c>
      <c r="R9" s="5"/>
      <c r="S9" s="5"/>
      <c r="T9" s="5" t="s">
        <v>38</v>
      </c>
      <c r="U9" s="5" t="s">
        <v>39</v>
      </c>
      <c r="V9" s="24"/>
      <c r="W9" s="24"/>
      <c r="X9" s="24"/>
    </row>
    <row r="10" spans="1:26" x14ac:dyDescent="0.35">
      <c r="E10" s="5"/>
    </row>
    <row r="11" spans="1:26" x14ac:dyDescent="0.35">
      <c r="E11" s="5"/>
    </row>
    <row r="12" spans="1:26" x14ac:dyDescent="0.35">
      <c r="E12" s="5"/>
    </row>
    <row r="13" spans="1:26" x14ac:dyDescent="0.35">
      <c r="E13" s="5"/>
    </row>
    <row r="14" spans="1:26" x14ac:dyDescent="0.35">
      <c r="E14" s="5"/>
    </row>
    <row r="15" spans="1:26" x14ac:dyDescent="0.35">
      <c r="E15" s="5"/>
    </row>
    <row r="16" spans="1:26" x14ac:dyDescent="0.35">
      <c r="E16" s="5"/>
    </row>
    <row r="17" spans="5:5" x14ac:dyDescent="0.35">
      <c r="E17" s="5"/>
    </row>
    <row r="18" spans="5:5" x14ac:dyDescent="0.35">
      <c r="E18" s="5"/>
    </row>
    <row r="19" spans="5:5" x14ac:dyDescent="0.35">
      <c r="E19" s="5"/>
    </row>
    <row r="20" spans="5:5" x14ac:dyDescent="0.35">
      <c r="E20" s="5"/>
    </row>
    <row r="21" spans="5:5" x14ac:dyDescent="0.35">
      <c r="E21" s="5"/>
    </row>
    <row r="22" spans="5:5" x14ac:dyDescent="0.35">
      <c r="E22" s="5"/>
    </row>
    <row r="23" spans="5:5" x14ac:dyDescent="0.35">
      <c r="E23" s="5"/>
    </row>
    <row r="24" spans="5:5" x14ac:dyDescent="0.35">
      <c r="E24" s="5"/>
    </row>
    <row r="25" spans="5:5" x14ac:dyDescent="0.35">
      <c r="E25" s="5"/>
    </row>
    <row r="26" spans="5:5" x14ac:dyDescent="0.35">
      <c r="E26" s="5"/>
    </row>
    <row r="27" spans="5:5" x14ac:dyDescent="0.35">
      <c r="E27" s="5"/>
    </row>
    <row r="28" spans="5:5" x14ac:dyDescent="0.35">
      <c r="E28" s="5"/>
    </row>
    <row r="29" spans="5:5" x14ac:dyDescent="0.35">
      <c r="E29" s="5"/>
    </row>
    <row r="30" spans="5:5" x14ac:dyDescent="0.35">
      <c r="E30" s="5"/>
    </row>
    <row r="31" spans="5:5" x14ac:dyDescent="0.35">
      <c r="E31" s="5"/>
    </row>
    <row r="32" spans="5:5" x14ac:dyDescent="0.35">
      <c r="E32" s="5"/>
    </row>
    <row r="33" spans="5:5" x14ac:dyDescent="0.35">
      <c r="E33" s="5"/>
    </row>
    <row r="34" spans="5:5" x14ac:dyDescent="0.35">
      <c r="E34" s="5"/>
    </row>
    <row r="35" spans="5:5" x14ac:dyDescent="0.35">
      <c r="E35" s="5"/>
    </row>
    <row r="36" spans="5:5" x14ac:dyDescent="0.35">
      <c r="E36" s="5"/>
    </row>
    <row r="37" spans="5:5" x14ac:dyDescent="0.35">
      <c r="E37" s="5"/>
    </row>
  </sheetData>
  <mergeCells count="2">
    <mergeCell ref="C1:D5"/>
    <mergeCell ref="E1:G5"/>
  </mergeCells>
  <conditionalFormatting sqref="H10:I1001 E10:E37 A10:D1001 T10:V1001 X10:X1001 J10:N1048576 A8:X9">
    <cfRule type="expression" dxfId="89" priority="16">
      <formula>$C8="Requisitado"</formula>
    </cfRule>
  </conditionalFormatting>
  <conditionalFormatting sqref="Z10:AE916">
    <cfRule type="expression" dxfId="88" priority="142">
      <formula>$C95="Requisitado"</formula>
    </cfRule>
  </conditionalFormatting>
  <conditionalFormatting sqref="Y10:Y986">
    <cfRule type="expression" dxfId="87" priority="169">
      <formula>$C25="Requisitado"</formula>
    </cfRule>
  </conditionalFormatting>
  <conditionalFormatting sqref="AJ10:AJ905">
    <cfRule type="expression" dxfId="86" priority="175">
      <formula>$C106="Requisitado"</formula>
    </cfRule>
  </conditionalFormatting>
  <conditionalFormatting sqref="AK10:AK855">
    <cfRule type="expression" dxfId="85" priority="177">
      <formula>$C156="Requisitado"</formula>
    </cfRule>
  </conditionalFormatting>
  <conditionalFormatting sqref="AG10:AG908">
    <cfRule type="expression" dxfId="84" priority="179">
      <formula>$C103="Requisitado"</formula>
    </cfRule>
  </conditionalFormatting>
  <conditionalFormatting sqref="AJ8:AJ9">
    <cfRule type="expression" dxfId="83" priority="6">
      <formula>$C94="Requisitado"</formula>
    </cfRule>
  </conditionalFormatting>
  <conditionalFormatting sqref="AK8:AK9">
    <cfRule type="expression" dxfId="82" priority="7">
      <formula>$C144="Requisitado"</formula>
    </cfRule>
  </conditionalFormatting>
  <conditionalFormatting sqref="AG8:AG9">
    <cfRule type="expression" dxfId="81" priority="8">
      <formula>$C91="Requisitado"</formula>
    </cfRule>
  </conditionalFormatting>
  <conditionalFormatting sqref="Y8:Y9">
    <cfRule type="expression" dxfId="80" priority="9">
      <formula>$C13="Requisitado"</formula>
    </cfRule>
  </conditionalFormatting>
  <conditionalFormatting sqref="Z8:AE8">
    <cfRule type="expression" dxfId="79" priority="2">
      <formula>$C83="Requisitado"</formula>
    </cfRule>
  </conditionalFormatting>
  <conditionalFormatting sqref="Z9:AE9">
    <cfRule type="expression" dxfId="78" priority="1">
      <formula>$C84="Requisitado"</formula>
    </cfRule>
  </conditionalFormatting>
  <dataValidations disablePrompts="1" count="4">
    <dataValidation type="list" allowBlank="1" showInputMessage="1" showErrorMessage="1" sqref="AD8:AD1048576 E8:E1048576" xr:uid="{AAD1C849-2122-4A25-B972-7FF3E21A8D72}">
      <formula1>INDIRECT("locais[Local]")</formula1>
    </dataValidation>
    <dataValidation type="list" allowBlank="1" showInputMessage="1" showErrorMessage="1" sqref="W8:Y9 X10:Y1048576" xr:uid="{B1F0E5BD-1C54-49FF-ABF5-7C4CAEA000DD}">
      <formula1>INDIRECT("origem[Origem]")</formula1>
    </dataValidation>
    <dataValidation type="list" allowBlank="1" showInputMessage="1" showErrorMessage="1" sqref="X8:X9 Y8:Y1048576 V8:V1048576" xr:uid="{281EAF9A-07F9-4D0E-841F-455283409C41}">
      <formula1>INDIRECT("origem[Email]")</formula1>
    </dataValidation>
    <dataValidation type="list" allowBlank="1" showInputMessage="1" showErrorMessage="1" sqref="C7:C1048576" xr:uid="{225178C8-5908-4336-B5EC-FF13C6327D08}">
      <formula1>"Emitido, Requisitado"</formula1>
    </dataValidation>
  </dataValidations>
  <hyperlinks>
    <hyperlink ref="D8" r:id="rId1" xr:uid="{22DF507A-48C3-4091-98E1-40FC2558B702}"/>
    <hyperlink ref="D9" r:id="rId2" xr:uid="{3B27DC76-86BA-423F-AE13-6B9372221120}"/>
  </hyperlinks>
  <pageMargins left="0.7" right="0.7" top="0.75" bottom="0.75" header="0.3" footer="0.3"/>
  <pageSetup orientation="portrait" r:id="rId3"/>
  <headerFooter>
    <oddHeader>&amp;R&amp;"Calibri"&amp;7&amp;K000000 1 - General Business&amp;1#_x000D_</oddHeader>
  </headerFooter>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macro="[0]!RunPythonScript">
                <anchor moveWithCells="1" sizeWithCells="1">
                  <from>
                    <xdr:col>4</xdr:col>
                    <xdr:colOff>76200</xdr:colOff>
                    <xdr:row>0</xdr:row>
                    <xdr:rowOff>69850</xdr:rowOff>
                  </from>
                  <to>
                    <xdr:col>6</xdr:col>
                    <xdr:colOff>1028700</xdr:colOff>
                    <xdr:row>4</xdr:row>
                    <xdr:rowOff>127000</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34959-9EAD-423A-BDFA-F0A856035022}">
  <sheetPr codeName="Sheet2"/>
  <dimension ref="A1:P9"/>
  <sheetViews>
    <sheetView zoomScaleNormal="100" workbookViewId="0">
      <selection activeCell="B6" sqref="B6"/>
    </sheetView>
  </sheetViews>
  <sheetFormatPr defaultColWidth="9.1796875" defaultRowHeight="14.5" x14ac:dyDescent="0.35"/>
  <cols>
    <col min="1" max="1" width="28.7265625" customWidth="1"/>
    <col min="2" max="2" width="12.453125" customWidth="1"/>
    <col min="3" max="3" width="23.7265625" customWidth="1"/>
    <col min="5" max="5" width="21.1796875" style="3" customWidth="1"/>
    <col min="6" max="6" width="16.54296875" style="4" customWidth="1"/>
    <col min="7" max="7" width="16" style="4" customWidth="1"/>
    <col min="8" max="8" width="14.81640625" customWidth="1"/>
    <col min="9" max="10" width="19.81640625" customWidth="1"/>
    <col min="11" max="11" width="14.26953125" bestFit="1" customWidth="1"/>
    <col min="12" max="12" width="13.81640625" customWidth="1"/>
    <col min="13" max="13" width="255.7265625" bestFit="1" customWidth="1"/>
    <col min="15" max="15" width="13.26953125" customWidth="1"/>
    <col min="16" max="16" width="11.7265625" customWidth="1"/>
  </cols>
  <sheetData>
    <row r="1" spans="1:16" x14ac:dyDescent="0.35">
      <c r="A1" s="1" t="s">
        <v>1</v>
      </c>
      <c r="B1" s="1" t="s">
        <v>3</v>
      </c>
      <c r="C1" s="1" t="s">
        <v>4</v>
      </c>
      <c r="D1" s="1" t="s">
        <v>5</v>
      </c>
      <c r="E1" s="1" t="s">
        <v>6</v>
      </c>
      <c r="F1" s="1" t="s">
        <v>58</v>
      </c>
      <c r="G1" s="1" t="s">
        <v>59</v>
      </c>
      <c r="H1" s="1" t="s">
        <v>18</v>
      </c>
      <c r="I1" s="1" t="s">
        <v>19</v>
      </c>
      <c r="J1" s="1" t="s">
        <v>60</v>
      </c>
      <c r="K1" s="1" t="s">
        <v>8</v>
      </c>
      <c r="L1" s="1" t="s">
        <v>9</v>
      </c>
      <c r="M1" s="1" t="s">
        <v>61</v>
      </c>
      <c r="N1" s="1" t="s">
        <v>62</v>
      </c>
      <c r="O1" s="1" t="s">
        <v>17</v>
      </c>
      <c r="P1" s="1" t="s">
        <v>63</v>
      </c>
    </row>
    <row r="2" spans="1:16" x14ac:dyDescent="0.35">
      <c r="A2" s="5" t="s">
        <v>64</v>
      </c>
      <c r="B2" s="5" t="s">
        <v>25</v>
      </c>
      <c r="C2" s="5" t="s">
        <v>51</v>
      </c>
      <c r="D2" s="5" t="s">
        <v>41</v>
      </c>
      <c r="E2" s="3">
        <v>45880.8194007407</v>
      </c>
      <c r="F2" s="7">
        <v>45872</v>
      </c>
      <c r="G2" s="2">
        <v>45877.125</v>
      </c>
      <c r="H2" s="5" t="s">
        <v>28</v>
      </c>
      <c r="I2" s="5">
        <v>8307</v>
      </c>
      <c r="J2" s="6">
        <v>0</v>
      </c>
      <c r="K2" s="5" t="s">
        <v>65</v>
      </c>
      <c r="L2" s="5" t="s">
        <v>66</v>
      </c>
      <c r="M2" s="5" t="s">
        <v>67</v>
      </c>
      <c r="N2" t="s">
        <v>68</v>
      </c>
      <c r="O2" t="s">
        <v>45</v>
      </c>
      <c r="P2" t="s">
        <v>27</v>
      </c>
    </row>
    <row r="3" spans="1:16" x14ac:dyDescent="0.35">
      <c r="A3" s="6" t="s">
        <v>69</v>
      </c>
      <c r="B3" s="5" t="s">
        <v>25</v>
      </c>
      <c r="C3" s="5" t="s">
        <v>53</v>
      </c>
      <c r="D3" s="5" t="s">
        <v>41</v>
      </c>
      <c r="E3" s="13">
        <v>45883.867150763901</v>
      </c>
      <c r="F3" s="7">
        <v>45854</v>
      </c>
      <c r="G3" s="2">
        <v>45873.125</v>
      </c>
      <c r="H3" s="5" t="s">
        <v>42</v>
      </c>
      <c r="I3" s="6">
        <v>675</v>
      </c>
      <c r="J3" s="6">
        <v>0</v>
      </c>
      <c r="K3" s="5" t="s">
        <v>70</v>
      </c>
      <c r="L3" s="5" t="s">
        <v>40</v>
      </c>
      <c r="M3" s="15" t="s">
        <v>71</v>
      </c>
      <c r="N3" t="s">
        <v>68</v>
      </c>
      <c r="O3" t="s">
        <v>45</v>
      </c>
      <c r="P3" t="s">
        <v>27</v>
      </c>
    </row>
    <row r="4" spans="1:16" ht="30" customHeight="1" x14ac:dyDescent="0.35">
      <c r="A4" s="6" t="s">
        <v>72</v>
      </c>
      <c r="B4" s="6" t="s">
        <v>25</v>
      </c>
      <c r="C4" s="6" t="s">
        <v>50</v>
      </c>
      <c r="D4" s="6" t="s">
        <v>26</v>
      </c>
      <c r="E4" s="17">
        <v>45884.486616134302</v>
      </c>
      <c r="F4" s="7">
        <v>45884.125</v>
      </c>
      <c r="G4" s="7">
        <v>45884.125</v>
      </c>
      <c r="H4" s="6" t="s">
        <v>43</v>
      </c>
      <c r="I4" s="6">
        <v>765</v>
      </c>
      <c r="J4" s="6">
        <v>19952</v>
      </c>
      <c r="K4" s="6" t="s">
        <v>73</v>
      </c>
      <c r="L4" s="6" t="s">
        <v>74</v>
      </c>
      <c r="M4" s="18" t="s">
        <v>75</v>
      </c>
      <c r="N4" s="6" t="s">
        <v>68</v>
      </c>
      <c r="O4" s="6" t="s">
        <v>45</v>
      </c>
      <c r="P4" s="6" t="s">
        <v>45</v>
      </c>
    </row>
    <row r="5" spans="1:16" x14ac:dyDescent="0.35">
      <c r="A5" s="6" t="s">
        <v>76</v>
      </c>
      <c r="B5" s="6" t="s">
        <v>25</v>
      </c>
      <c r="C5" s="6" t="s">
        <v>77</v>
      </c>
      <c r="D5" s="6" t="s">
        <v>26</v>
      </c>
      <c r="E5" s="17">
        <v>45889.468118159697</v>
      </c>
      <c r="F5" s="7">
        <v>45886.125</v>
      </c>
      <c r="G5" s="7">
        <v>45886.125</v>
      </c>
      <c r="H5" s="6" t="s">
        <v>44</v>
      </c>
      <c r="I5" s="6">
        <v>9606</v>
      </c>
      <c r="J5" s="6">
        <v>74563</v>
      </c>
      <c r="K5" s="6" t="s">
        <v>78</v>
      </c>
      <c r="L5" s="6" t="s">
        <v>79</v>
      </c>
      <c r="M5" s="6" t="s">
        <v>80</v>
      </c>
      <c r="N5" s="6" t="s">
        <v>68</v>
      </c>
      <c r="O5" s="6" t="s">
        <v>45</v>
      </c>
      <c r="P5" t="s">
        <v>27</v>
      </c>
    </row>
    <row r="6" spans="1:16" ht="43.5" x14ac:dyDescent="0.35">
      <c r="A6" s="6" t="s">
        <v>81</v>
      </c>
      <c r="B6" s="6" t="s">
        <v>25</v>
      </c>
      <c r="C6" s="6" t="s">
        <v>82</v>
      </c>
      <c r="D6" s="6" t="s">
        <v>26</v>
      </c>
      <c r="E6" s="17">
        <v>45944.732000509299</v>
      </c>
      <c r="F6" s="7">
        <v>45735.125</v>
      </c>
      <c r="G6" s="7">
        <v>45943.125</v>
      </c>
      <c r="H6" s="6" t="s">
        <v>44</v>
      </c>
      <c r="I6" s="6">
        <v>9617</v>
      </c>
      <c r="J6" s="6">
        <v>1922</v>
      </c>
      <c r="K6" s="6" t="s">
        <v>83</v>
      </c>
      <c r="L6" s="6">
        <v>657987</v>
      </c>
      <c r="M6" s="18" t="s">
        <v>84</v>
      </c>
      <c r="N6" s="6" t="s">
        <v>68</v>
      </c>
      <c r="O6" s="6" t="s">
        <v>45</v>
      </c>
      <c r="P6" s="6" t="s">
        <v>27</v>
      </c>
    </row>
    <row r="9" spans="1:16" x14ac:dyDescent="0.35">
      <c r="D9" t="s">
        <v>85</v>
      </c>
    </row>
  </sheetData>
  <conditionalFormatting sqref="A2:A6 F3 E7:G1048576 A4:P6">
    <cfRule type="expression" dxfId="51" priority="29">
      <formula>$B2="Requisitado"</formula>
    </cfRule>
  </conditionalFormatting>
  <conditionalFormatting sqref="E2:F2 J2:J6 F3 N2:P6">
    <cfRule type="expression" dxfId="50" priority="30">
      <formula>$B2="Requisitado"</formula>
    </cfRule>
  </conditionalFormatting>
  <conditionalFormatting sqref="B2">
    <cfRule type="expression" dxfId="49" priority="28">
      <formula>$B2="Requisitado"</formula>
    </cfRule>
  </conditionalFormatting>
  <conditionalFormatting sqref="C2">
    <cfRule type="expression" dxfId="48" priority="27">
      <formula>$B2="Requisitado"</formula>
    </cfRule>
  </conditionalFormatting>
  <conditionalFormatting sqref="D2:D6">
    <cfRule type="expression" dxfId="47" priority="24">
      <formula>$B2="Requisitado"</formula>
    </cfRule>
  </conditionalFormatting>
  <conditionalFormatting sqref="A7:P1001 D3 F3 I3:J3 N3:P3">
    <cfRule type="expression" dxfId="46" priority="32">
      <formula>$B3="Requisitado"</formula>
    </cfRule>
  </conditionalFormatting>
  <conditionalFormatting sqref="G2">
    <cfRule type="expression" dxfId="45" priority="25">
      <formula>$B2="Requisitado"</formula>
    </cfRule>
  </conditionalFormatting>
  <conditionalFormatting sqref="H2:I2 I3">
    <cfRule type="expression" dxfId="44" priority="20">
      <formula>$B2="Requisitado"</formula>
    </cfRule>
  </conditionalFormatting>
  <conditionalFormatting sqref="K2">
    <cfRule type="expression" dxfId="43" priority="23">
      <formula>$B2="Requisitado"</formula>
    </cfRule>
  </conditionalFormatting>
  <conditionalFormatting sqref="L2">
    <cfRule type="expression" dxfId="42" priority="22">
      <formula>$B2="Requisitado"</formula>
    </cfRule>
  </conditionalFormatting>
  <conditionalFormatting sqref="M2">
    <cfRule type="expression" dxfId="41" priority="21">
      <formula>$B2="Requisitado"</formula>
    </cfRule>
  </conditionalFormatting>
  <conditionalFormatting sqref="A3">
    <cfRule type="expression" dxfId="40" priority="18">
      <formula>$B3="Requisitado"</formula>
    </cfRule>
  </conditionalFormatting>
  <conditionalFormatting sqref="A3:A6">
    <cfRule type="expression" dxfId="39" priority="19">
      <formula>$B7="Requisitado"</formula>
    </cfRule>
  </conditionalFormatting>
  <conditionalFormatting sqref="B3">
    <cfRule type="expression" dxfId="38" priority="16">
      <formula>$B3="Requisitado"</formula>
    </cfRule>
  </conditionalFormatting>
  <conditionalFormatting sqref="B3:B6">
    <cfRule type="expression" dxfId="37" priority="17">
      <formula>$B7="Requisitado"</formula>
    </cfRule>
  </conditionalFormatting>
  <conditionalFormatting sqref="C3">
    <cfRule type="expression" dxfId="36" priority="14">
      <formula>$B3="Requisitado"</formula>
    </cfRule>
  </conditionalFormatting>
  <conditionalFormatting sqref="C3:C6">
    <cfRule type="expression" dxfId="35" priority="15">
      <formula>$B7="Requisitado"</formula>
    </cfRule>
  </conditionalFormatting>
  <conditionalFormatting sqref="E3">
    <cfRule type="expression" dxfId="34" priority="12">
      <formula>$B3="Requisitado"</formula>
    </cfRule>
  </conditionalFormatting>
  <conditionalFormatting sqref="E3:E6">
    <cfRule type="expression" dxfId="33" priority="13">
      <formula>$B7="Requisitado"</formula>
    </cfRule>
  </conditionalFormatting>
  <conditionalFormatting sqref="G3">
    <cfRule type="expression" dxfId="32" priority="10">
      <formula>$B3="Requisitado"</formula>
    </cfRule>
  </conditionalFormatting>
  <conditionalFormatting sqref="G3:G6">
    <cfRule type="expression" dxfId="31" priority="11">
      <formula>$B7="Requisitado"</formula>
    </cfRule>
  </conditionalFormatting>
  <conditionalFormatting sqref="K3">
    <cfRule type="expression" dxfId="30" priority="8">
      <formula>$B3="Requisitado"</formula>
    </cfRule>
  </conditionalFormatting>
  <conditionalFormatting sqref="K3:K6">
    <cfRule type="expression" dxfId="29" priority="9">
      <formula>$B7="Requisitado"</formula>
    </cfRule>
  </conditionalFormatting>
  <conditionalFormatting sqref="L3">
    <cfRule type="expression" dxfId="28" priority="6">
      <formula>$B3="Requisitado"</formula>
    </cfRule>
  </conditionalFormatting>
  <conditionalFormatting sqref="L3:L6">
    <cfRule type="expression" dxfId="27" priority="7">
      <formula>$B7="Requisitado"</formula>
    </cfRule>
  </conditionalFormatting>
  <conditionalFormatting sqref="M3">
    <cfRule type="expression" dxfId="26" priority="4">
      <formula>$B3="Requisitado"</formula>
    </cfRule>
  </conditionalFormatting>
  <conditionalFormatting sqref="M3:M6">
    <cfRule type="expression" dxfId="25" priority="5">
      <formula>$B7="Requisitado"</formula>
    </cfRule>
  </conditionalFormatting>
  <conditionalFormatting sqref="H3">
    <cfRule type="expression" dxfId="24" priority="2">
      <formula>$B3="Requisitado"</formula>
    </cfRule>
  </conditionalFormatting>
  <conditionalFormatting sqref="H3:H6">
    <cfRule type="expression" dxfId="23" priority="3">
      <formula>$B7="Requisitado"</formula>
    </cfRule>
  </conditionalFormatting>
  <conditionalFormatting sqref="P5">
    <cfRule type="expression" dxfId="22" priority="1">
      <formula>$B5="Requisitado"</formula>
    </cfRule>
  </conditionalFormatting>
  <dataValidations count="2">
    <dataValidation type="list" allowBlank="1" showInputMessage="1" showErrorMessage="1" sqref="B2:B6" xr:uid="{27A22DF2-16A6-454D-90B9-ACE8C9FD2BE6}">
      <formula1>"Emitido, Requisitado"</formula1>
    </dataValidation>
    <dataValidation type="list" allowBlank="1" showInputMessage="1" showErrorMessage="1" sqref="B7:B1048576" xr:uid="{EB257F5E-2F19-4C20-848A-0B0C7D217D58}">
      <formula1>"Requisitado,Emitido"</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FB21-D431-4608-8324-18C02B9D1907}">
  <sheetPr codeName="Sheet3"/>
  <dimension ref="A1:B6"/>
  <sheetViews>
    <sheetView workbookViewId="0">
      <selection activeCell="D4" sqref="D4"/>
    </sheetView>
  </sheetViews>
  <sheetFormatPr defaultRowHeight="14.5" x14ac:dyDescent="0.35"/>
  <cols>
    <col min="1" max="1" width="10.7265625" bestFit="1" customWidth="1"/>
    <col min="2" max="2" width="7.1796875" bestFit="1" customWidth="1"/>
    <col min="3" max="4" width="4.54296875" bestFit="1" customWidth="1"/>
    <col min="5" max="5" width="5.1796875" bestFit="1" customWidth="1"/>
    <col min="6" max="6" width="4.453125" bestFit="1" customWidth="1"/>
    <col min="7" max="7" width="6.81640625" bestFit="1" customWidth="1"/>
    <col min="8" max="9" width="10.7265625" bestFit="1" customWidth="1"/>
    <col min="10" max="10" width="19.1796875" bestFit="1" customWidth="1"/>
    <col min="11" max="11" width="16.1796875" bestFit="1" customWidth="1"/>
    <col min="12" max="12" width="34.1796875" bestFit="1" customWidth="1"/>
    <col min="13" max="13" width="15.1796875" bestFit="1" customWidth="1"/>
    <col min="14" max="14" width="17.7265625" bestFit="1" customWidth="1"/>
    <col min="15" max="15" width="23.453125" bestFit="1" customWidth="1"/>
    <col min="16" max="16" width="24" bestFit="1" customWidth="1"/>
    <col min="17" max="17" width="26.26953125" bestFit="1" customWidth="1"/>
    <col min="18" max="18" width="9.54296875" bestFit="1" customWidth="1"/>
    <col min="19" max="19" width="11.7265625" bestFit="1" customWidth="1"/>
    <col min="20" max="20" width="14.54296875" bestFit="1" customWidth="1"/>
    <col min="21" max="21" width="43.453125" bestFit="1" customWidth="1"/>
    <col min="22" max="23" width="24.81640625" bestFit="1" customWidth="1"/>
    <col min="24" max="24" width="9.26953125" bestFit="1" customWidth="1"/>
    <col min="25" max="25" width="18.26953125" bestFit="1" customWidth="1"/>
    <col min="26" max="26" width="9.26953125" bestFit="1" customWidth="1"/>
    <col min="27" max="27" width="43.453125" bestFit="1" customWidth="1"/>
    <col min="28" max="28" width="24.54296875" bestFit="1" customWidth="1"/>
    <col min="29" max="29" width="9.81640625" bestFit="1" customWidth="1"/>
    <col min="30" max="30" width="22.81640625" bestFit="1" customWidth="1"/>
    <col min="31" max="31" width="48.81640625" bestFit="1" customWidth="1"/>
    <col min="32" max="32" width="5.7265625" bestFit="1" customWidth="1"/>
    <col min="33" max="33" width="6.81640625" bestFit="1" customWidth="1"/>
    <col min="34" max="34" width="9.1796875" bestFit="1" customWidth="1"/>
    <col min="35" max="35" width="22.7265625" bestFit="1" customWidth="1"/>
    <col min="36" max="36" width="5.7265625" bestFit="1" customWidth="1"/>
    <col min="37" max="37" width="12.54296875" bestFit="1" customWidth="1"/>
    <col min="38" max="38" width="6.81640625" bestFit="1" customWidth="1"/>
    <col min="39" max="39" width="11.54296875" bestFit="1" customWidth="1"/>
    <col min="40" max="40" width="10.7265625" bestFit="1" customWidth="1"/>
  </cols>
  <sheetData>
    <row r="1" spans="1:2" x14ac:dyDescent="0.35">
      <c r="A1" s="25" t="s">
        <v>86</v>
      </c>
      <c r="B1" t="s">
        <v>87</v>
      </c>
    </row>
    <row r="2" spans="1:2" x14ac:dyDescent="0.35">
      <c r="A2" s="26" t="s">
        <v>88</v>
      </c>
      <c r="B2">
        <v>1</v>
      </c>
    </row>
    <row r="3" spans="1:2" x14ac:dyDescent="0.35">
      <c r="A3" s="26" t="s">
        <v>89</v>
      </c>
      <c r="B3">
        <v>21</v>
      </c>
    </row>
    <row r="4" spans="1:2" x14ac:dyDescent="0.35">
      <c r="A4" s="26" t="s">
        <v>90</v>
      </c>
      <c r="B4">
        <v>30</v>
      </c>
    </row>
    <row r="5" spans="1:2" x14ac:dyDescent="0.35">
      <c r="A5" s="26" t="s">
        <v>91</v>
      </c>
      <c r="B5">
        <v>8</v>
      </c>
    </row>
    <row r="6" spans="1:2" x14ac:dyDescent="0.35">
      <c r="A6" s="26" t="s">
        <v>92</v>
      </c>
      <c r="B6">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15DAB5-E40E-409B-9709-67084EAD8E5A}">
  <sheetPr codeName="Sheet4"/>
  <dimension ref="A1:E13"/>
  <sheetViews>
    <sheetView zoomScaleNormal="100" workbookViewId="0">
      <selection activeCell="B13" sqref="B13"/>
    </sheetView>
  </sheetViews>
  <sheetFormatPr defaultRowHeight="14.5" x14ac:dyDescent="0.35"/>
  <cols>
    <col min="1" max="1" width="27.26953125" customWidth="1"/>
    <col min="2" max="2" width="16.1796875" customWidth="1"/>
    <col min="5" max="5" width="22.81640625" customWidth="1"/>
    <col min="6" max="6" width="8.7265625" customWidth="1"/>
  </cols>
  <sheetData>
    <row r="1" spans="1:5" x14ac:dyDescent="0.35">
      <c r="A1" s="12" t="s">
        <v>93</v>
      </c>
      <c r="B1" s="10" t="s">
        <v>94</v>
      </c>
      <c r="D1" t="s">
        <v>95</v>
      </c>
      <c r="E1" t="s">
        <v>96</v>
      </c>
    </row>
    <row r="2" spans="1:5" x14ac:dyDescent="0.35">
      <c r="A2" s="11" t="s">
        <v>55</v>
      </c>
      <c r="B2" s="9" t="s">
        <v>97</v>
      </c>
      <c r="D2" t="s">
        <v>26</v>
      </c>
      <c r="E2" s="8" t="s">
        <v>98</v>
      </c>
    </row>
    <row r="3" spans="1:5" x14ac:dyDescent="0.35">
      <c r="A3" s="11" t="s">
        <v>99</v>
      </c>
      <c r="B3" s="9" t="s">
        <v>48</v>
      </c>
      <c r="D3" t="s">
        <v>41</v>
      </c>
      <c r="E3" s="8" t="s">
        <v>100</v>
      </c>
    </row>
    <row r="4" spans="1:5" x14ac:dyDescent="0.35">
      <c r="A4" s="11" t="s">
        <v>57</v>
      </c>
      <c r="B4" s="9" t="s">
        <v>48</v>
      </c>
    </row>
    <row r="5" spans="1:5" x14ac:dyDescent="0.35">
      <c r="A5" s="11" t="s">
        <v>52</v>
      </c>
      <c r="B5" s="9" t="s">
        <v>48</v>
      </c>
    </row>
    <row r="6" spans="1:5" x14ac:dyDescent="0.35">
      <c r="A6" s="11" t="s">
        <v>49</v>
      </c>
      <c r="B6" s="9" t="s">
        <v>97</v>
      </c>
    </row>
    <row r="7" spans="1:5" x14ac:dyDescent="0.35">
      <c r="A7" s="11" t="s">
        <v>56</v>
      </c>
      <c r="B7" s="9" t="s">
        <v>97</v>
      </c>
    </row>
    <row r="8" spans="1:5" x14ac:dyDescent="0.35">
      <c r="A8" s="11" t="s">
        <v>54</v>
      </c>
      <c r="B8" s="9" t="s">
        <v>97</v>
      </c>
    </row>
    <row r="9" spans="1:5" x14ac:dyDescent="0.35">
      <c r="A9" s="9" t="s">
        <v>101</v>
      </c>
      <c r="B9" s="9" t="s">
        <v>97</v>
      </c>
    </row>
    <row r="10" spans="1:5" x14ac:dyDescent="0.35">
      <c r="A10" s="11" t="s">
        <v>47</v>
      </c>
      <c r="B10" s="9" t="s">
        <v>48</v>
      </c>
    </row>
    <row r="11" spans="1:5" x14ac:dyDescent="0.35">
      <c r="A11" s="11" t="s">
        <v>102</v>
      </c>
      <c r="B11" s="9" t="s">
        <v>48</v>
      </c>
    </row>
    <row r="12" spans="1:5" x14ac:dyDescent="0.35">
      <c r="A12" s="11" t="s">
        <v>46</v>
      </c>
      <c r="B12" s="9" t="s">
        <v>48</v>
      </c>
    </row>
    <row r="13" spans="1:5" x14ac:dyDescent="0.35">
      <c r="A13" s="11" t="s">
        <v>103</v>
      </c>
      <c r="B13" s="9" t="s">
        <v>48</v>
      </c>
    </row>
  </sheetData>
  <hyperlinks>
    <hyperlink ref="A2" r:id="rId1" xr:uid="{E422B785-D398-404C-AD9E-DA03022F5DBA}"/>
    <hyperlink ref="A3" r:id="rId2" xr:uid="{36D18B88-FD9B-4747-B264-990F6D4CB0E5}"/>
    <hyperlink ref="A4" r:id="rId3" xr:uid="{8C68862F-025C-45C5-975E-AF50D7C6FE8E}"/>
    <hyperlink ref="A5" r:id="rId4" xr:uid="{CD6C59E7-53CD-4C1A-AC0F-44F4AAE130ED}"/>
    <hyperlink ref="A6" r:id="rId5" xr:uid="{A568260F-0438-46D7-9A4A-70B177EEDD7D}"/>
    <hyperlink ref="A7" r:id="rId6" xr:uid="{DDED8414-EBBE-44A4-94AF-907F5C873688}"/>
    <hyperlink ref="A8" r:id="rId7" xr:uid="{366B6883-2245-4FEF-921E-0BC6DAA71499}"/>
    <hyperlink ref="A10" r:id="rId8" xr:uid="{3B1E38CB-2E03-467A-A32A-A69B9F071544}"/>
    <hyperlink ref="A11" r:id="rId9" xr:uid="{0CC516A1-527F-47A5-931A-EAF5BE689DD0}"/>
    <hyperlink ref="A12" r:id="rId10" xr:uid="{157F52A5-4D80-4EB9-8312-28D75242F82E}"/>
    <hyperlink ref="A13" r:id="rId11" xr:uid="{CE92B446-0DC5-433D-A063-4DEDF10038BC}"/>
    <hyperlink ref="E2" r:id="rId12" xr:uid="{EA85FE5B-9BED-497B-8BD8-5FC6BD2324C3}"/>
    <hyperlink ref="E3" r:id="rId13" xr:uid="{269C77FB-E3D7-4AFD-BA70-BBF6A458F7F3}"/>
  </hyperlinks>
  <pageMargins left="0.7" right="0.7" top="0.75" bottom="0.75" header="0.3" footer="0.3"/>
  <pageSetup orientation="portrait" r:id="rId14"/>
  <tableParts count="2">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AA9346F4A77C514EAD2FE4DF97B0B44A" ma:contentTypeVersion="7" ma:contentTypeDescription="Crie um novo documento." ma:contentTypeScope="" ma:versionID="df53e3d5c93ad2591af4fca3cf70efe2">
  <xsd:schema xmlns:xsd="http://www.w3.org/2001/XMLSchema" xmlns:xs="http://www.w3.org/2001/XMLSchema" xmlns:p="http://schemas.microsoft.com/office/2006/metadata/properties" xmlns:ns2="4e76857c-d982-4bec-ad5f-876a37afd944" targetNamespace="http://schemas.microsoft.com/office/2006/metadata/properties" ma:root="true" ma:fieldsID="8cb89351c051a92a6936f01b10ce8767" ns2:_="">
    <xsd:import namespace="4e76857c-d982-4bec-ad5f-876a37afd944"/>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76857c-d982-4bec-ad5f-876a37afd94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C1F271-420D-4921-843A-97E53348B806}">
  <ds:schemaRefs>
    <ds:schemaRef ds:uri="http://schemas.microsoft.com/sharepoint/v3/contenttype/forms"/>
  </ds:schemaRefs>
</ds:datastoreItem>
</file>

<file path=customXml/itemProps2.xml><?xml version="1.0" encoding="utf-8"?>
<ds:datastoreItem xmlns:ds="http://schemas.openxmlformats.org/officeDocument/2006/customXml" ds:itemID="{9F9DF76C-09C4-4482-8B29-B05889E2C4B6}">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0A961B9D-C24C-4BCC-BED5-140CA80971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e76857c-d982-4bec-ad5f-876a37afd94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ncmr</vt:lpstr>
      <vt:lpstr>rc</vt:lpstr>
      <vt:lpstr>TabelaDinâmica</vt:lpstr>
      <vt:lpstr>tabelas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Silva, João Francisco</dc:creator>
  <cp:keywords/>
  <dc:description/>
  <cp:lastModifiedBy>Silva, João Francisco</cp:lastModifiedBy>
  <cp:revision/>
  <dcterms:created xsi:type="dcterms:W3CDTF">2015-06-05T18:17:20Z</dcterms:created>
  <dcterms:modified xsi:type="dcterms:W3CDTF">2025-10-29T13:29:46Z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7903732-8a6f-4e0e-952b-fe0b250d49cc_Enabled">
    <vt:lpwstr>true</vt:lpwstr>
  </property>
  <property fmtid="{D5CDD505-2E9C-101B-9397-08002B2CF9AE}" pid="3" name="MSIP_Label_57903732-8a6f-4e0e-952b-fe0b250d49cc_SetDate">
    <vt:lpwstr>2025-07-14T15:29:54Z</vt:lpwstr>
  </property>
  <property fmtid="{D5CDD505-2E9C-101B-9397-08002B2CF9AE}" pid="4" name="MSIP_Label_57903732-8a6f-4e0e-952b-fe0b250d49cc_Method">
    <vt:lpwstr>Standard</vt:lpwstr>
  </property>
  <property fmtid="{D5CDD505-2E9C-101B-9397-08002B2CF9AE}" pid="5" name="MSIP_Label_57903732-8a6f-4e0e-952b-fe0b250d49cc_Name">
    <vt:lpwstr>1- General Business</vt:lpwstr>
  </property>
  <property fmtid="{D5CDD505-2E9C-101B-9397-08002B2CF9AE}" pid="6" name="MSIP_Label_57903732-8a6f-4e0e-952b-fe0b250d49cc_SiteId">
    <vt:lpwstr>90f1aac4-c661-46a9-83fd-e021705adcc9</vt:lpwstr>
  </property>
  <property fmtid="{D5CDD505-2E9C-101B-9397-08002B2CF9AE}" pid="7" name="MSIP_Label_57903732-8a6f-4e0e-952b-fe0b250d49cc_ActionId">
    <vt:lpwstr>070866c2-8b78-4b9e-8390-a1e8b844a536</vt:lpwstr>
  </property>
  <property fmtid="{D5CDD505-2E9C-101B-9397-08002B2CF9AE}" pid="8" name="MSIP_Label_57903732-8a6f-4e0e-952b-fe0b250d49cc_ContentBits">
    <vt:lpwstr>1</vt:lpwstr>
  </property>
  <property fmtid="{D5CDD505-2E9C-101B-9397-08002B2CF9AE}" pid="9" name="MSIP_Label_57903732-8a6f-4e0e-952b-fe0b250d49cc_Tag">
    <vt:lpwstr>10, 3, 0, 1</vt:lpwstr>
  </property>
  <property fmtid="{D5CDD505-2E9C-101B-9397-08002B2CF9AE}" pid="10" name="ContentTypeId">
    <vt:lpwstr>0x010100AA9346F4A77C514EAD2FE4DF97B0B44A</vt:lpwstr>
  </property>
</Properties>
</file>