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joao.silva\Documents\GitHub\pptx-automatico\"/>
    </mc:Choice>
  </mc:AlternateContent>
  <xr:revisionPtr revIDLastSave="0" documentId="13_ncr:1_{4B5C3428-8139-4FE2-A244-BBBC6E028E5A}" xr6:coauthVersionLast="47" xr6:coauthVersionMax="47" xr10:uidLastSave="{00000000-0000-0000-0000-000000000000}"/>
  <bookViews>
    <workbookView xWindow="-110" yWindow="-110" windowWidth="19420" windowHeight="11500" xr2:uid="{00000000-000D-0000-FFFF-FFFF00000000}"/>
  </bookViews>
  <sheets>
    <sheet name="ncmr" sheetId="3" r:id="rId1"/>
    <sheet name="rc" sheetId="4" r:id="rId2"/>
    <sheet name="TabelaDinâmica" sheetId="7" r:id="rId3"/>
    <sheet name="tabelas" sheetId="6" r:id="rId4"/>
  </sheets>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<sst xmlns="http://schemas.openxmlformats.org/spreadsheetml/2006/main" count="160" uniqueCount="105">
  <si>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</si>
  <si>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</si>
  <si>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</si>
  <si>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</si>
  <si>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</si>
  <si>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</si>
  <si>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</si>
  <si>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</si>
  <si>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</si>
  <si>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</si>
  <si>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</si>
  <si>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</si>
  <si>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</si>
  <si>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</si>
  <si>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</si>
  <si>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</si>
  <si>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</si>
  <si>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</si>
  <si>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</si>
  <si>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</si>
  <si>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</si>
  <si>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</si>
  <si>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</si>
  <si>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</si>
  <si>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</si>
  <si>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</si>
  <si>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</si>
  <si>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</si>
  <si>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</si>
  <si>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</si>
  <si>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</si>
  <si>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</si>
  <si>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</si>
  <si>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</si>
  <si>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</si>
  <si>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</si>
  <si>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</si>
  <si>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</si>
  <si>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</si>
  <si>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</si>
  <si>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</si>
  <si>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</si>
  <si>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</si>
  <si>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</si>
  <si>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</si>
  <si>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</si>
  <si>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</si>
  <si>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</si>
  <si>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</si>
  <si>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</si>
  <si>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</si>
  <si>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</si>
  <si>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</si>
  <si>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</si>
  <si>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</si>
  <si>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</si>
  <si>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</si>
  <si>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</si>
  <si>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</si>
  <si>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</si>
  <si>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</si>
  <si>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</si>
  <si>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</si>
  <si>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</si>
  <si>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</si>
  <si>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</si>
  <si>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</si>
  <si>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</si>
  <si>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</si>
  <si>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</si>
  <si>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</si>
  <si>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</si>
  <si>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</si>
  <si>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</si>
  <si>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</si>
  <si>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</si>
  <si>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</si>
  <si>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</si>
  <si>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</si>
  <si>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</si>
  <si>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</si>
  <si>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</si>
  <si>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</si>
  <si>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</si>
  <si>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</si>
  <si>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</si>
  <si>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</si>
  <si>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</si>
  <si>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</si>
  <si>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</si>
  <si>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</si>
  <si>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</si>
  <si>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</si>
  <si>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</si>
  <si>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</si>
  <si>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</si>
  <si>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</si>
  <si>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</si>
  <si>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</si>
  <si>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</si>
  <si>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</si>
  <si>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</si>
  <si>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</si>
  <si>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</si>
  <si>
    <t>"C:\Users\joao.silva\Documents\GitHub\pptx-automatico\.venv\Scripts\python.exe" "C:\Users\joao.silva\Documents\GitHub\pptx-automatico\pptx-automatico.py" $A$8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</si>
</sst>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77" dataDxfId="76">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75"/>
    <tableColumn id="21" xr3:uid="{D43A5CDD-0D21-4733-8C34-E48F18BA765D}" name="cod_reliance" dataDxfId="74"/>
    <tableColumn id="18" xr3:uid="{4BBDB8D3-D6F0-447C-88A3-4E4096DB58F2}" name="status" dataDxfId="73"/>
    <tableColumn id="2" xr3:uid="{C8E0F4D3-B900-4338-9320-4E8F1B32449A}" name="email_responsavel" dataDxfId="72"/>
    <tableColumn id="4" xr3:uid="{47AF9FFC-601B-49E0-AF1A-B534C4E53BED}" name="local" dataDxfId="71"/>
    <tableColumn id="15" xr3:uid="{C793F042-6B61-4632-BE69-378B334AD31D}" name="data_requisicao" dataDxfId="70"/>
    <tableColumn id="13" xr3:uid="{04C2700C-4332-4B28-BDCA-91D531579DBF}" name="data_problema" dataDxfId="69"/>
    <tableColumn id="1" xr3:uid="{B11CEF20-90F3-4272-9F85-121B2148B853}" name="part_number" dataDxfId="68"/>
    <tableColumn id="3" xr3:uid="{8A2274E5-435E-4B2B-A3D4-C56123339A48}" name="serial_number" dataDxfId="67"/>
    <tableColumn id="14" xr3:uid="{BFF5180A-7A72-475F-8802-0241B5967009}" name="descricao_part" dataDxfId="66"/>
    <tableColumn id="22" xr3:uid="{B3569CC5-A18E-4E9D-B060-BDC285406D55}" name="Informativa" dataDxfId="65"/>
    <tableColumn id="24" xr3:uid="{F4C5E80A-0174-46CE-8E23-10301580AB1F}" name="informativa_retrabalho" dataDxfId="64"/>
    <tableColumn id="7" xr3:uid="{D7A64475-80F4-44C2-8DEE-A7F4EA4F6244}" name="errado" dataDxfId="63"/>
    <tableColumn id="6" xr3:uid="{B726F8AB-2E2D-406E-BD8A-06B561419783}" name="correto" dataDxfId="62"/>
    <tableColumn id="20" xr3:uid="{FEA1DCE7-2F2C-470A-B01B-AA1BAF7D3B21}" name="qtd_itens" dataDxfId="61"/>
    <tableColumn id="10" xr3:uid="{8217FAC5-E33D-4D25-8C91-C55FA00B6D65}" name="qtd_erros" dataDxfId="60"/>
    <tableColumn id="16" xr3:uid="{0674D48E-C7C9-4616-9FAA-829CE4E25960}" name="prioridade" dataDxfId="59"/>
    <tableColumn id="11" xr3:uid="{13147B03-CF65-46B3-90E8-5AD52D2BE845}" name="modelo_locomotiva" dataDxfId="58"/>
    <tableColumn id="12" xr3:uid="{C80A355C-FE6A-4BD6-8281-879C5180BEBB}" name="numero_locomotiva" dataDxfId="57"/>
    <tableColumn id="8" xr3:uid="{CBC8179D-01F9-4ED5-8386-208DF61860D9}" name="fornecedor" dataDxfId="56"/>
    <tableColumn id="9" xr3:uid="{65BA9D5C-6B4F-42F0-A6AB-91C3FAD506C9}" name="fabricante" dataDxfId="55"/>
    <tableColumn id="17" xr3:uid="{8AE0B74B-92B5-404C-9CE4-47EE266BD1D4}" name="aos_cuidados" dataDxfId="54"/>
    <tableColumn id="19" xr3:uid="{8933390E-ADCB-4976-A352-97B8BBD6B43E}" name="origem_do_item" dataDxfId="53">
      <calculatedColumnFormula>IFERROR(IFERROR(VLOOKUP(ncmr[[#This Row],[aos_cuidados]],origem[],2,0),VLOOKUP(LEFT(V8,FIND(",",V8)-1),origem[],2,0)),"")</calculatedColumnFormula>
    </tableColumn>
    <tableColumn id="23" xr3:uid="{EA16AB21-CE42-4813-80B9-924AF3B5ED36}" name="Tipo" dataDxfId="5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21" dataDxfId="20">
  <autoFilter ref="A1:P6" xr:uid="{04781C52-0B69-4CBD-86D7-793B5CC8A16A}"/>
  <tableColumns count="16">
    <tableColumn id="16" xr3:uid="{7EAE4AB2-02E5-4CFC-84B3-6E75309C6CE9}" name="PowerAppsId" dataDxfId="19"/>
    <tableColumn id="14" xr3:uid="{150A39C6-8E9B-4880-B6F7-808A678FBA0D}" name="status" dataDxfId="18"/>
    <tableColumn id="1" xr3:uid="{49979870-67AE-4D5C-B375-198941548999}" name="email_responsavel" dataDxfId="17"/>
    <tableColumn id="2" xr3:uid="{9F21FAAC-4892-46A1-9DB9-65E9E9FCBF47}" name="local" dataDxfId="16"/>
    <tableColumn id="15" xr3:uid="{8BF7CD95-3DA9-492B-A805-F97E0F20AEE6}" name="data_requisicao" dataDxfId="15"/>
    <tableColumn id="3" xr3:uid="{796F64D8-6282-4C62-B426-636D66A8B73D}" name="data_instalacao" dataDxfId="14"/>
    <tableColumn id="4" xr3:uid="{0B09E414-9586-4AF9-8AEC-64C72A630B63}" name="data_remocao" dataDxfId="13"/>
    <tableColumn id="5" xr3:uid="{AA9B6082-AA21-40BF-922D-8925418E255E}" name="modelo_locomotiva" dataDxfId="12"/>
    <tableColumn id="6" xr3:uid="{50816A76-4A08-49A8-87C8-953E424FB014}" name="numero_locomotiva" dataDxfId="11"/>
    <tableColumn id="7" xr3:uid="{D6A469A4-85D4-403C-B05A-6FC2AF6E65E5}" name="MWH" dataDxfId="10"/>
    <tableColumn id="8" xr3:uid="{0E2B65EA-6C1E-4F73-8A1F-6C7C846E0605}" name="part_number" dataDxfId="9"/>
    <tableColumn id="9" xr3:uid="{921EDFED-83A2-49AE-8534-C01969B42012}" name="serial_number" dataDxfId="8"/>
    <tableColumn id="10" xr3:uid="{0F4A5CFA-7164-45C9-A4D6-D96B6F76D140}" name="avaria" dataDxfId="7"/>
    <tableColumn id="11" xr3:uid="{5A1FFDC9-CA35-49A8-A513-9F59BD964970}" name="tipo_servico" dataDxfId="6"/>
    <tableColumn id="12" xr3:uid="{D2D41647-E18A-4643-9B4E-DABED8AA136E}" name="prioridade" dataDxfId="5"/>
    <tableColumn id="13" xr3:uid="{A16556DD-B44F-48B2-8CB6-AACBE785364F}" name="OVP"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3" tableBorderDxfId="2">
  <autoFilter ref="A1:B13" xr:uid="{4EEAC33A-8FD1-4B38-8CBF-4D347137F9F8}"/>
  <tableColumns count="2">
    <tableColumn id="1" xr3:uid="{C1975273-BF9B-42BF-82CE-2B52D5A24906}" name="Email" dataDxfId="1" dataCellStyle="Hyperlink"/>
    <tableColumn id="2" xr3:uid="{E9DB37A2-E406-4172-88A4-C495DD1646D4}" name="Origem" dataDxfId="0"/>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7"/>
  <sheetViews>
    <sheetView tabSelected="1" workbookViewId="0">
      <selection activeCell="A2" sqref="A2"/>
    </sheetView>
  </sheetViews>
  <sheetFormatPr defaultColWidth="9.1796875" defaultRowHeight="14.5" x14ac:dyDescent="0.35"/>
  <cols>
    <col min="1" max="1" width="80.363281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A2" s="14" t="s">
        <v>104</v>
      </c>
      <c r="B2" s="16"/>
      <c r="C2" s="30"/>
      <c r="D2" s="31"/>
      <c r="E2" s="37"/>
      <c r="F2" s="38"/>
      <c r="G2" s="39"/>
      <c r="H2" s="16"/>
      <c r="I2" s="16"/>
      <c r="J2"/>
      <c r="K2"/>
      <c r="L2"/>
      <c r="N2"/>
      <c r="X2"/>
      <c r="Z2"/>
    </row>
    <row r="3" spans="1:26" x14ac:dyDescent="0.35">
      <c r="A3" s="19"/>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29</v>
      </c>
      <c r="B9" s="15" t="s">
        <v>29</v>
      </c>
      <c r="C9" s="5" t="s">
        <v>25</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E10" s="5"/>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sheetData>
  <mergeCells count="2">
    <mergeCell ref="C1:D5"/>
    <mergeCell ref="E1:G5"/>
  </mergeCells>
  <conditionalFormatting sqref="H10:I1001 E10:E37 A10:D1001 T10:V1001 X10:X1001 J10:N1048576 A8:X9">
    <cfRule type="expression" dxfId="89" priority="16">
      <formula>$C8="Requisitado"</formula>
    </cfRule>
  </conditionalFormatting>
  <conditionalFormatting sqref="Z10:AE916">
    <cfRule type="expression" dxfId="88" priority="142">
      <formula>$C95="Requisitado"</formula>
    </cfRule>
  </conditionalFormatting>
  <conditionalFormatting sqref="Y10:Y986">
    <cfRule type="expression" dxfId="87" priority="169">
      <formula>$C25="Requisitado"</formula>
    </cfRule>
  </conditionalFormatting>
  <conditionalFormatting sqref="AJ10:AJ905">
    <cfRule type="expression" dxfId="86" priority="175">
      <formula>$C106="Requisitado"</formula>
    </cfRule>
  </conditionalFormatting>
  <conditionalFormatting sqref="AK10:AK855">
    <cfRule type="expression" dxfId="85" priority="177">
      <formula>$C156="Requisitado"</formula>
    </cfRule>
  </conditionalFormatting>
  <conditionalFormatting sqref="AG10:AG908">
    <cfRule type="expression" dxfId="84" priority="179">
      <formula>$C103="Requisitado"</formula>
    </cfRule>
  </conditionalFormatting>
  <conditionalFormatting sqref="AJ8:AJ9">
    <cfRule type="expression" dxfId="83" priority="6">
      <formula>$C94="Requisitado"</formula>
    </cfRule>
  </conditionalFormatting>
  <conditionalFormatting sqref="AK8:AK9">
    <cfRule type="expression" dxfId="82" priority="7">
      <formula>$C144="Requisitado"</formula>
    </cfRule>
  </conditionalFormatting>
  <conditionalFormatting sqref="AG8:AG9">
    <cfRule type="expression" dxfId="81" priority="8">
      <formula>$C91="Requisitado"</formula>
    </cfRule>
  </conditionalFormatting>
  <conditionalFormatting sqref="Y8:Y9">
    <cfRule type="expression" dxfId="80" priority="9">
      <formula>$C13="Requisitado"</formula>
    </cfRule>
  </conditionalFormatting>
  <conditionalFormatting sqref="Z8:AE8">
    <cfRule type="expression" dxfId="79" priority="2">
      <formula>$C83="Requisitado"</formula>
    </cfRule>
  </conditionalFormatting>
  <conditionalFormatting sqref="Z9:AE9">
    <cfRule type="expression" dxfId="78" priority="1">
      <formula>$C84="Requisitado"</formula>
    </cfRule>
  </conditionalFormatting>
  <dataValidations count="4">
    <dataValidation type="list" allowBlank="1" showInputMessage="1" showErrorMessage="1" sqref="AD8:AD1048576 E8:E1048576" xr:uid="{AAD1C849-2122-4A25-B972-7FF3E21A8D72}">
      <formula1>INDIRECT("locais[Local]")</formula1>
    </dataValidation>
    <dataValidation type="list" allowBlank="1" showInputMessage="1" showErrorMessage="1" sqref="W8:Y9 X10:Y1048576" xr:uid="{B1F0E5BD-1C54-49FF-ABF5-7C4CAEA000DD}">
      <formula1>INDIRECT("origem[Origem]")</formula1>
    </dataValidation>
    <dataValidation type="list" allowBlank="1" showInputMessage="1" showErrorMessage="1" sqref="X8:X9 Y8:Y1048576 V8:V1048576"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9" r:id="rId2" xr:uid="{3B27DC76-86BA-423F-AE13-6B9372221120}"/>
  </hyperlinks>
  <pageMargins left="0.7" right="0.7" top="0.75" bottom="0.75" header="0.3" footer="0.3"/>
  <pageSetup orientation="portrait" r:id="rId3"/>
  <headerFooter>
    <oddHeader>&amp;R&amp;"Calibri"&amp;7&amp;K000000 1 - General Business&amp;1#_x000D_</oddHeader>
  </headerFooter>
  <drawing r:id="rId4"/>
  <legacyDrawing r:id="rId5"/>
  <mc:AlternateContent xmlns:mc="http://schemas.openxmlformats.org/markup-compatibility/2006">
    <mc:Choice Requires="x14">
      <controls>
        <mc:AlternateContent xmlns:mc="http://schemas.openxmlformats.org/markup-compatibility/2006">
          <mc:Choice Requires="x14">
            <control shapeId="1029" r:id="rId6"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51" priority="29">
      <formula>$B2="Requisitado"</formula>
    </cfRule>
  </conditionalFormatting>
  <conditionalFormatting sqref="E2:F2 J2:J6 F3 N2:P6">
    <cfRule type="expression" dxfId="50" priority="30">
      <formula>$B2="Requisitado"</formula>
    </cfRule>
  </conditionalFormatting>
  <conditionalFormatting sqref="B2">
    <cfRule type="expression" dxfId="49" priority="28">
      <formula>$B2="Requisitado"</formula>
    </cfRule>
  </conditionalFormatting>
  <conditionalFormatting sqref="C2">
    <cfRule type="expression" dxfId="48" priority="27">
      <formula>$B2="Requisitado"</formula>
    </cfRule>
  </conditionalFormatting>
  <conditionalFormatting sqref="D2:D6">
    <cfRule type="expression" dxfId="47" priority="24">
      <formula>$B2="Requisitado"</formula>
    </cfRule>
  </conditionalFormatting>
  <conditionalFormatting sqref="A7:P1001 D3 F3 I3:J3 N3:P3">
    <cfRule type="expression" dxfId="46" priority="32">
      <formula>$B3="Requisitado"</formula>
    </cfRule>
  </conditionalFormatting>
  <conditionalFormatting sqref="G2">
    <cfRule type="expression" dxfId="45" priority="25">
      <formula>$B2="Requisitado"</formula>
    </cfRule>
  </conditionalFormatting>
  <conditionalFormatting sqref="H2:I2 I3">
    <cfRule type="expression" dxfId="44" priority="20">
      <formula>$B2="Requisitado"</formula>
    </cfRule>
  </conditionalFormatting>
  <conditionalFormatting sqref="K2">
    <cfRule type="expression" dxfId="43" priority="23">
      <formula>$B2="Requisitado"</formula>
    </cfRule>
  </conditionalFormatting>
  <conditionalFormatting sqref="L2">
    <cfRule type="expression" dxfId="42" priority="22">
      <formula>$B2="Requisitado"</formula>
    </cfRule>
  </conditionalFormatting>
  <conditionalFormatting sqref="M2">
    <cfRule type="expression" dxfId="41" priority="21">
      <formula>$B2="Requisitado"</formula>
    </cfRule>
  </conditionalFormatting>
  <conditionalFormatting sqref="A3">
    <cfRule type="expression" dxfId="40" priority="18">
      <formula>$B3="Requisitado"</formula>
    </cfRule>
  </conditionalFormatting>
  <conditionalFormatting sqref="A3:A6">
    <cfRule type="expression" dxfId="39" priority="19">
      <formula>$B7="Requisitado"</formula>
    </cfRule>
  </conditionalFormatting>
  <conditionalFormatting sqref="B3">
    <cfRule type="expression" dxfId="38" priority="16">
      <formula>$B3="Requisitado"</formula>
    </cfRule>
  </conditionalFormatting>
  <conditionalFormatting sqref="B3:B6">
    <cfRule type="expression" dxfId="37" priority="17">
      <formula>$B7="Requisitado"</formula>
    </cfRule>
  </conditionalFormatting>
  <conditionalFormatting sqref="C3">
    <cfRule type="expression" dxfId="36" priority="14">
      <formula>$B3="Requisitado"</formula>
    </cfRule>
  </conditionalFormatting>
  <conditionalFormatting sqref="C3:C6">
    <cfRule type="expression" dxfId="35" priority="15">
      <formula>$B7="Requisitado"</formula>
    </cfRule>
  </conditionalFormatting>
  <conditionalFormatting sqref="E3">
    <cfRule type="expression" dxfId="34" priority="12">
      <formula>$B3="Requisitado"</formula>
    </cfRule>
  </conditionalFormatting>
  <conditionalFormatting sqref="E3:E6">
    <cfRule type="expression" dxfId="33" priority="13">
      <formula>$B7="Requisitado"</formula>
    </cfRule>
  </conditionalFormatting>
  <conditionalFormatting sqref="G3">
    <cfRule type="expression" dxfId="32" priority="10">
      <formula>$B3="Requisitado"</formula>
    </cfRule>
  </conditionalFormatting>
  <conditionalFormatting sqref="G3:G6">
    <cfRule type="expression" dxfId="31" priority="11">
      <formula>$B7="Requisitado"</formula>
    </cfRule>
  </conditionalFormatting>
  <conditionalFormatting sqref="K3">
    <cfRule type="expression" dxfId="30" priority="8">
      <formula>$B3="Requisitado"</formula>
    </cfRule>
  </conditionalFormatting>
  <conditionalFormatting sqref="K3:K6">
    <cfRule type="expression" dxfId="29" priority="9">
      <formula>$B7="Requisitado"</formula>
    </cfRule>
  </conditionalFormatting>
  <conditionalFormatting sqref="L3">
    <cfRule type="expression" dxfId="28" priority="6">
      <formula>$B3="Requisitado"</formula>
    </cfRule>
  </conditionalFormatting>
  <conditionalFormatting sqref="L3:L6">
    <cfRule type="expression" dxfId="27" priority="7">
      <formula>$B7="Requisitado"</formula>
    </cfRule>
  </conditionalFormatting>
  <conditionalFormatting sqref="M3">
    <cfRule type="expression" dxfId="26" priority="4">
      <formula>$B3="Requisitado"</formula>
    </cfRule>
  </conditionalFormatting>
  <conditionalFormatting sqref="M3:M6">
    <cfRule type="expression" dxfId="25" priority="5">
      <formula>$B7="Requisitado"</formula>
    </cfRule>
  </conditionalFormatting>
  <conditionalFormatting sqref="H3">
    <cfRule type="expression" dxfId="24" priority="2">
      <formula>$B3="Requisitado"</formula>
    </cfRule>
  </conditionalFormatting>
  <conditionalFormatting sqref="H3:H6">
    <cfRule type="expression" dxfId="23" priority="3">
      <formula>$B7="Requisitado"</formula>
    </cfRule>
  </conditionalFormatting>
  <conditionalFormatting sqref="P5">
    <cfRule type="expression" dxfId="22"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06E2003350C66641A579DBB07CE07332" ma:contentTypeVersion="9" ma:contentTypeDescription="Crie um novo documento." ma:contentTypeScope="" ma:versionID="61024dbe82322031c7a6ba1ebcbf17d9">
  <xsd:schema xmlns:xsd="http://www.w3.org/2001/XMLSchema" xmlns:xs="http://www.w3.org/2001/XMLSchema" xmlns:p="http://schemas.microsoft.com/office/2006/metadata/properties" xmlns:ns2="2634a83c-b2c1-449c-8882-322b79556f9e" targetNamespace="http://schemas.microsoft.com/office/2006/metadata/properties" ma:root="true" ma:fieldsID="a2ba600457b02db42e3d17846519df5a" ns2:_="">
    <xsd:import namespace="2634a83c-b2c1-449c-8882-322b79556f9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34a83c-b2c1-449c-8882-322b79556f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3.xml><?xml version="1.0" encoding="utf-8"?>
<ds:datastoreItem xmlns:ds="http://schemas.openxmlformats.org/officeDocument/2006/customXml" ds:itemID="{892F8452-9DF1-480B-A307-4EEC6746D2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34a83c-b2c1-449c-8882-322b79556f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2025-10-27T18:49:26Z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0x01010006E2003350C66641A579DBB07CE07332</vt:lpwstr>
  </property>
</Properties>
</file>